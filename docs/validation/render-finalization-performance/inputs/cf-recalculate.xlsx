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ved" sheetId="1" r:id="rId1"/>
  </sheets>
</workbook>
</file>

<file path=xl/styles.xml><?xml version="1.0" encoding="utf-8"?>
<styleSheet xmlns="http://schemas.openxmlformats.org/spreadsheetml/2006/main">
  <fonts>
    <font>
      <name val="Calibri"/>
      <sz val="11"/>
    </font>
  </fonts>
  <fills>
    <fill>
      <patternFill patternType="none"/>
    </fill>
  </fills>
  <borders>
    <border/>
  </borders>
  <cellStyleXfs>
    <xf/>
  </cellStyleXfs>
  <cellXfs>
    <xf fontId="0" fillId="0" borderId="0"/>
  </cellXfs>
  <dxfs>
    <dxf>
      <fill>
        <patternFill patternType="solid">
          <fgColor rgb="FFFFFF00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f>MOD(1-1,101)</f>
        <v>0</v>
      </c>
    </row>
    <row r="2">
      <c r="A2">
        <f>MOD(2-1,101)</f>
        <v>1</v>
      </c>
    </row>
    <row r="3">
      <c r="A3">
        <f>MOD(3-1,101)</f>
        <v>2</v>
      </c>
    </row>
    <row r="4">
      <c r="A4">
        <f>MOD(4-1,101)</f>
        <v>3</v>
      </c>
    </row>
    <row r="5">
      <c r="A5">
        <f>MOD(5-1,101)</f>
        <v>4</v>
      </c>
    </row>
    <row r="6">
      <c r="A6">
        <f>MOD(6-1,101)</f>
        <v>5</v>
      </c>
    </row>
    <row r="7">
      <c r="A7">
        <f>MOD(7-1,101)</f>
        <v>6</v>
      </c>
    </row>
    <row r="8">
      <c r="A8">
        <f>MOD(8-1,101)</f>
        <v>7</v>
      </c>
    </row>
    <row r="9">
      <c r="A9">
        <f>MOD(9-1,101)</f>
        <v>8</v>
      </c>
    </row>
    <row r="10">
      <c r="A10">
        <f>MOD(10-1,101)</f>
        <v>9</v>
      </c>
    </row>
    <row r="11">
      <c r="A11">
        <f>MOD(11-1,101)</f>
        <v>10</v>
      </c>
    </row>
    <row r="12">
      <c r="A12">
        <f>MOD(12-1,101)</f>
        <v>11</v>
      </c>
    </row>
    <row r="13">
      <c r="A13">
        <f>MOD(13-1,101)</f>
        <v>12</v>
      </c>
    </row>
    <row r="14">
      <c r="A14">
        <f>MOD(14-1,101)</f>
        <v>13</v>
      </c>
    </row>
    <row r="15">
      <c r="A15">
        <f>MOD(15-1,101)</f>
        <v>14</v>
      </c>
    </row>
    <row r="16">
      <c r="A16">
        <f>MOD(16-1,101)</f>
        <v>15</v>
      </c>
    </row>
    <row r="17">
      <c r="A17">
        <f>MOD(17-1,101)</f>
        <v>16</v>
      </c>
    </row>
    <row r="18">
      <c r="A18">
        <f>MOD(18-1,101)</f>
        <v>17</v>
      </c>
    </row>
    <row r="19">
      <c r="A19">
        <f>MOD(19-1,101)</f>
        <v>18</v>
      </c>
    </row>
    <row r="20">
      <c r="A20">
        <f>MOD(20-1,101)</f>
        <v>19</v>
      </c>
    </row>
    <row r="21">
      <c r="A21">
        <f>MOD(21-1,101)</f>
        <v>20</v>
      </c>
    </row>
    <row r="22">
      <c r="A22">
        <f>MOD(22-1,101)</f>
        <v>21</v>
      </c>
    </row>
    <row r="23">
      <c r="A23">
        <f>MOD(23-1,101)</f>
        <v>22</v>
      </c>
    </row>
    <row r="24">
      <c r="A24">
        <f>MOD(24-1,101)</f>
        <v>23</v>
      </c>
    </row>
    <row r="25">
      <c r="A25">
        <f>MOD(25-1,101)</f>
        <v>24</v>
      </c>
    </row>
    <row r="26">
      <c r="A26">
        <f>MOD(26-1,101)</f>
        <v>25</v>
      </c>
    </row>
    <row r="27">
      <c r="A27">
        <f>MOD(27-1,101)</f>
        <v>26</v>
      </c>
    </row>
    <row r="28">
      <c r="A28">
        <f>MOD(28-1,101)</f>
        <v>27</v>
      </c>
    </row>
    <row r="29">
      <c r="A29">
        <f>MOD(29-1,101)</f>
        <v>28</v>
      </c>
    </row>
    <row r="30">
      <c r="A30">
        <f>MOD(30-1,101)</f>
        <v>29</v>
      </c>
    </row>
    <row r="31">
      <c r="A31">
        <f>MOD(31-1,101)</f>
        <v>30</v>
      </c>
    </row>
    <row r="32">
      <c r="A32">
        <f>MOD(32-1,101)</f>
        <v>31</v>
      </c>
    </row>
    <row r="33">
      <c r="A33">
        <f>MOD(33-1,101)</f>
        <v>32</v>
      </c>
    </row>
    <row r="34">
      <c r="A34">
        <f>MOD(34-1,101)</f>
        <v>33</v>
      </c>
    </row>
    <row r="35">
      <c r="A35">
        <f>MOD(35-1,101)</f>
        <v>34</v>
      </c>
    </row>
    <row r="36">
      <c r="A36">
        <f>MOD(36-1,101)</f>
        <v>35</v>
      </c>
    </row>
    <row r="37">
      <c r="A37">
        <f>MOD(37-1,101)</f>
        <v>36</v>
      </c>
    </row>
    <row r="38">
      <c r="A38">
        <f>MOD(38-1,101)</f>
        <v>37</v>
      </c>
    </row>
    <row r="39">
      <c r="A39">
        <f>MOD(39-1,101)</f>
        <v>38</v>
      </c>
    </row>
    <row r="40">
      <c r="A40">
        <f>MOD(40-1,101)</f>
        <v>39</v>
      </c>
    </row>
    <row r="41">
      <c r="A41">
        <f>MOD(41-1,101)</f>
        <v>40</v>
      </c>
    </row>
    <row r="42">
      <c r="A42">
        <f>MOD(42-1,101)</f>
        <v>41</v>
      </c>
    </row>
    <row r="43">
      <c r="A43">
        <f>MOD(43-1,101)</f>
        <v>42</v>
      </c>
    </row>
    <row r="44">
      <c r="A44">
        <f>MOD(44-1,101)</f>
        <v>43</v>
      </c>
    </row>
    <row r="45">
      <c r="A45">
        <f>MOD(45-1,101)</f>
        <v>44</v>
      </c>
    </row>
    <row r="46">
      <c r="A46">
        <f>MOD(46-1,101)</f>
        <v>45</v>
      </c>
    </row>
    <row r="47">
      <c r="A47">
        <f>MOD(47-1,101)</f>
        <v>46</v>
      </c>
    </row>
    <row r="48">
      <c r="A48">
        <f>MOD(48-1,101)</f>
        <v>47</v>
      </c>
    </row>
    <row r="49">
      <c r="A49">
        <f>MOD(49-1,101)</f>
        <v>48</v>
      </c>
    </row>
    <row r="50">
      <c r="A50">
        <f>MOD(50-1,101)</f>
        <v>49</v>
      </c>
    </row>
    <row r="51">
      <c r="A51">
        <f>MOD(51-1,101)</f>
        <v>50</v>
      </c>
    </row>
    <row r="52">
      <c r="A52">
        <f>MOD(52-1,101)</f>
        <v>51</v>
      </c>
    </row>
    <row r="53">
      <c r="A53">
        <f>MOD(53-1,101)</f>
        <v>52</v>
      </c>
    </row>
    <row r="54">
      <c r="A54">
        <f>MOD(54-1,101)</f>
        <v>53</v>
      </c>
    </row>
    <row r="55">
      <c r="A55">
        <f>MOD(55-1,101)</f>
        <v>54</v>
      </c>
    </row>
    <row r="56">
      <c r="A56">
        <f>MOD(56-1,101)</f>
        <v>55</v>
      </c>
    </row>
    <row r="57">
      <c r="A57">
        <f>MOD(57-1,101)</f>
        <v>56</v>
      </c>
    </row>
    <row r="58">
      <c r="A58">
        <f>MOD(58-1,101)</f>
        <v>57</v>
      </c>
    </row>
    <row r="59">
      <c r="A59">
        <f>MOD(59-1,101)</f>
        <v>58</v>
      </c>
    </row>
    <row r="60">
      <c r="A60">
        <f>MOD(60-1,101)</f>
        <v>59</v>
      </c>
    </row>
    <row r="61">
      <c r="A61">
        <f>MOD(61-1,101)</f>
        <v>60</v>
      </c>
    </row>
    <row r="62">
      <c r="A62">
        <f>MOD(62-1,101)</f>
        <v>61</v>
      </c>
    </row>
    <row r="63">
      <c r="A63">
        <f>MOD(63-1,101)</f>
        <v>62</v>
      </c>
    </row>
    <row r="64">
      <c r="A64">
        <f>MOD(64-1,101)</f>
        <v>63</v>
      </c>
    </row>
    <row r="65">
      <c r="A65">
        <f>MOD(65-1,101)</f>
        <v>64</v>
      </c>
    </row>
    <row r="66">
      <c r="A66">
        <f>MOD(66-1,101)</f>
        <v>65</v>
      </c>
    </row>
    <row r="67">
      <c r="A67">
        <f>MOD(67-1,101)</f>
        <v>66</v>
      </c>
    </row>
    <row r="68">
      <c r="A68">
        <f>MOD(68-1,101)</f>
        <v>67</v>
      </c>
    </row>
    <row r="69">
      <c r="A69">
        <f>MOD(69-1,101)</f>
        <v>68</v>
      </c>
    </row>
    <row r="70">
      <c r="A70">
        <f>MOD(70-1,101)</f>
        <v>69</v>
      </c>
    </row>
    <row r="71">
      <c r="A71">
        <f>MOD(71-1,101)</f>
        <v>70</v>
      </c>
    </row>
    <row r="72">
      <c r="A72">
        <f>MOD(72-1,101)</f>
        <v>71</v>
      </c>
    </row>
    <row r="73">
      <c r="A73">
        <f>MOD(73-1,101)</f>
        <v>72</v>
      </c>
    </row>
    <row r="74">
      <c r="A74">
        <f>MOD(74-1,101)</f>
        <v>73</v>
      </c>
    </row>
    <row r="75">
      <c r="A75">
        <f>MOD(75-1,101)</f>
        <v>74</v>
      </c>
    </row>
    <row r="76">
      <c r="A76">
        <f>MOD(76-1,101)</f>
        <v>75</v>
      </c>
    </row>
    <row r="77">
      <c r="A77">
        <f>MOD(77-1,101)</f>
        <v>76</v>
      </c>
    </row>
    <row r="78">
      <c r="A78">
        <f>MOD(78-1,101)</f>
        <v>77</v>
      </c>
    </row>
    <row r="79">
      <c r="A79">
        <f>MOD(79-1,101)</f>
        <v>78</v>
      </c>
    </row>
    <row r="80">
      <c r="A80">
        <f>MOD(80-1,101)</f>
        <v>79</v>
      </c>
    </row>
    <row r="81">
      <c r="A81">
        <f>MOD(81-1,101)</f>
        <v>80</v>
      </c>
    </row>
    <row r="82">
      <c r="A82">
        <f>MOD(82-1,101)</f>
        <v>81</v>
      </c>
    </row>
    <row r="83">
      <c r="A83">
        <f>MOD(83-1,101)</f>
        <v>82</v>
      </c>
    </row>
    <row r="84">
      <c r="A84">
        <f>MOD(84-1,101)</f>
        <v>83</v>
      </c>
    </row>
    <row r="85">
      <c r="A85">
        <f>MOD(85-1,101)</f>
        <v>84</v>
      </c>
    </row>
    <row r="86">
      <c r="A86">
        <f>MOD(86-1,101)</f>
        <v>85</v>
      </c>
    </row>
    <row r="87">
      <c r="A87">
        <f>MOD(87-1,101)</f>
        <v>86</v>
      </c>
    </row>
    <row r="88">
      <c r="A88">
        <f>MOD(88-1,101)</f>
        <v>87</v>
      </c>
    </row>
    <row r="89">
      <c r="A89">
        <f>MOD(89-1,101)</f>
        <v>88</v>
      </c>
    </row>
    <row r="90">
      <c r="A90">
        <f>MOD(90-1,101)</f>
        <v>89</v>
      </c>
    </row>
    <row r="91">
      <c r="A91">
        <f>MOD(91-1,101)</f>
        <v>90</v>
      </c>
    </row>
    <row r="92">
      <c r="A92">
        <f>MOD(92-1,101)</f>
        <v>91</v>
      </c>
    </row>
    <row r="93">
      <c r="A93">
        <f>MOD(93-1,101)</f>
        <v>92</v>
      </c>
    </row>
    <row r="94">
      <c r="A94">
        <f>MOD(94-1,101)</f>
        <v>93</v>
      </c>
    </row>
    <row r="95">
      <c r="A95">
        <f>MOD(95-1,101)</f>
        <v>94</v>
      </c>
    </row>
    <row r="96">
      <c r="A96">
        <f>MOD(96-1,101)</f>
        <v>95</v>
      </c>
    </row>
    <row r="97">
      <c r="A97">
        <f>MOD(97-1,101)</f>
        <v>96</v>
      </c>
    </row>
    <row r="98">
      <c r="A98">
        <f>MOD(98-1,101)</f>
        <v>97</v>
      </c>
    </row>
    <row r="99">
      <c r="A99">
        <f>MOD(99-1,101)</f>
        <v>98</v>
      </c>
    </row>
    <row r="100">
      <c r="A100">
        <f>MOD(100-1,101)</f>
        <v>99</v>
      </c>
    </row>
    <row r="101">
      <c r="A101">
        <f>MOD(101-1,101)</f>
        <v>100</v>
      </c>
    </row>
    <row r="102">
      <c r="A102">
        <f>MOD(102-1,101)</f>
        <v>0</v>
      </c>
    </row>
    <row r="103">
      <c r="A103">
        <f>MOD(103-1,101)</f>
        <v>1</v>
      </c>
    </row>
    <row r="104">
      <c r="A104">
        <f>MOD(104-1,101)</f>
        <v>2</v>
      </c>
    </row>
    <row r="105">
      <c r="A105">
        <f>MOD(105-1,101)</f>
        <v>3</v>
      </c>
    </row>
    <row r="106">
      <c r="A106">
        <f>MOD(106-1,101)</f>
        <v>4</v>
      </c>
    </row>
    <row r="107">
      <c r="A107">
        <f>MOD(107-1,101)</f>
        <v>5</v>
      </c>
    </row>
    <row r="108">
      <c r="A108">
        <f>MOD(108-1,101)</f>
        <v>6</v>
      </c>
    </row>
    <row r="109">
      <c r="A109">
        <f>MOD(109-1,101)</f>
        <v>7</v>
      </c>
    </row>
    <row r="110">
      <c r="A110">
        <f>MOD(110-1,101)</f>
        <v>8</v>
      </c>
    </row>
    <row r="111">
      <c r="A111">
        <f>MOD(111-1,101)</f>
        <v>9</v>
      </c>
    </row>
    <row r="112">
      <c r="A112">
        <f>MOD(112-1,101)</f>
        <v>10</v>
      </c>
    </row>
    <row r="113">
      <c r="A113">
        <f>MOD(113-1,101)</f>
        <v>11</v>
      </c>
    </row>
    <row r="114">
      <c r="A114">
        <f>MOD(114-1,101)</f>
        <v>12</v>
      </c>
    </row>
    <row r="115">
      <c r="A115">
        <f>MOD(115-1,101)</f>
        <v>13</v>
      </c>
    </row>
    <row r="116">
      <c r="A116">
        <f>MOD(116-1,101)</f>
        <v>14</v>
      </c>
    </row>
    <row r="117">
      <c r="A117">
        <f>MOD(117-1,101)</f>
        <v>15</v>
      </c>
    </row>
    <row r="118">
      <c r="A118">
        <f>MOD(118-1,101)</f>
        <v>16</v>
      </c>
    </row>
    <row r="119">
      <c r="A119">
        <f>MOD(119-1,101)</f>
        <v>17</v>
      </c>
    </row>
    <row r="120">
      <c r="A120">
        <f>MOD(120-1,101)</f>
        <v>18</v>
      </c>
    </row>
    <row r="121">
      <c r="A121">
        <f>MOD(121-1,101)</f>
        <v>19</v>
      </c>
    </row>
    <row r="122">
      <c r="A122">
        <f>MOD(122-1,101)</f>
        <v>20</v>
      </c>
    </row>
    <row r="123">
      <c r="A123">
        <f>MOD(123-1,101)</f>
        <v>21</v>
      </c>
    </row>
    <row r="124">
      <c r="A124">
        <f>MOD(124-1,101)</f>
        <v>22</v>
      </c>
    </row>
    <row r="125">
      <c r="A125">
        <f>MOD(125-1,101)</f>
        <v>23</v>
      </c>
    </row>
    <row r="126">
      <c r="A126">
        <f>MOD(126-1,101)</f>
        <v>24</v>
      </c>
    </row>
    <row r="127">
      <c r="A127">
        <f>MOD(127-1,101)</f>
        <v>25</v>
      </c>
    </row>
    <row r="128">
      <c r="A128">
        <f>MOD(128-1,101)</f>
        <v>26</v>
      </c>
    </row>
    <row r="129">
      <c r="A129">
        <f>MOD(129-1,101)</f>
        <v>27</v>
      </c>
    </row>
    <row r="130">
      <c r="A130">
        <f>MOD(130-1,101)</f>
        <v>28</v>
      </c>
    </row>
    <row r="131">
      <c r="A131">
        <f>MOD(131-1,101)</f>
        <v>29</v>
      </c>
    </row>
    <row r="132">
      <c r="A132">
        <f>MOD(132-1,101)</f>
        <v>30</v>
      </c>
    </row>
    <row r="133">
      <c r="A133">
        <f>MOD(133-1,101)</f>
        <v>31</v>
      </c>
    </row>
    <row r="134">
      <c r="A134">
        <f>MOD(134-1,101)</f>
        <v>32</v>
      </c>
    </row>
    <row r="135">
      <c r="A135">
        <f>MOD(135-1,101)</f>
        <v>33</v>
      </c>
    </row>
    <row r="136">
      <c r="A136">
        <f>MOD(136-1,101)</f>
        <v>34</v>
      </c>
    </row>
    <row r="137">
      <c r="A137">
        <f>MOD(137-1,101)</f>
        <v>35</v>
      </c>
    </row>
    <row r="138">
      <c r="A138">
        <f>MOD(138-1,101)</f>
        <v>36</v>
      </c>
    </row>
    <row r="139">
      <c r="A139">
        <f>MOD(139-1,101)</f>
        <v>37</v>
      </c>
    </row>
    <row r="140">
      <c r="A140">
        <f>MOD(140-1,101)</f>
        <v>38</v>
      </c>
    </row>
    <row r="141">
      <c r="A141">
        <f>MOD(141-1,101)</f>
        <v>39</v>
      </c>
    </row>
    <row r="142">
      <c r="A142">
        <f>MOD(142-1,101)</f>
        <v>40</v>
      </c>
    </row>
    <row r="143">
      <c r="A143">
        <f>MOD(143-1,101)</f>
        <v>41</v>
      </c>
    </row>
    <row r="144">
      <c r="A144">
        <f>MOD(144-1,101)</f>
        <v>42</v>
      </c>
    </row>
    <row r="145">
      <c r="A145">
        <f>MOD(145-1,101)</f>
        <v>43</v>
      </c>
    </row>
    <row r="146">
      <c r="A146">
        <f>MOD(146-1,101)</f>
        <v>44</v>
      </c>
    </row>
    <row r="147">
      <c r="A147">
        <f>MOD(147-1,101)</f>
        <v>45</v>
      </c>
    </row>
    <row r="148">
      <c r="A148">
        <f>MOD(148-1,101)</f>
        <v>46</v>
      </c>
    </row>
    <row r="149">
      <c r="A149">
        <f>MOD(149-1,101)</f>
        <v>47</v>
      </c>
    </row>
    <row r="150">
      <c r="A150">
        <f>MOD(150-1,101)</f>
        <v>48</v>
      </c>
    </row>
    <row r="151">
      <c r="A151">
        <f>MOD(151-1,101)</f>
        <v>49</v>
      </c>
    </row>
    <row r="152">
      <c r="A152">
        <f>MOD(152-1,101)</f>
        <v>50</v>
      </c>
    </row>
    <row r="153">
      <c r="A153">
        <f>MOD(153-1,101)</f>
        <v>51</v>
      </c>
    </row>
    <row r="154">
      <c r="A154">
        <f>MOD(154-1,101)</f>
        <v>52</v>
      </c>
    </row>
    <row r="155">
      <c r="A155">
        <f>MOD(155-1,101)</f>
        <v>53</v>
      </c>
    </row>
    <row r="156">
      <c r="A156">
        <f>MOD(156-1,101)</f>
        <v>54</v>
      </c>
    </row>
    <row r="157">
      <c r="A157">
        <f>MOD(157-1,101)</f>
        <v>55</v>
      </c>
    </row>
    <row r="158">
      <c r="A158">
        <f>MOD(158-1,101)</f>
        <v>56</v>
      </c>
    </row>
    <row r="159">
      <c r="A159">
        <f>MOD(159-1,101)</f>
        <v>57</v>
      </c>
    </row>
    <row r="160">
      <c r="A160">
        <f>MOD(160-1,101)</f>
        <v>58</v>
      </c>
    </row>
    <row r="161">
      <c r="A161">
        <f>MOD(161-1,101)</f>
        <v>59</v>
      </c>
    </row>
    <row r="162">
      <c r="A162">
        <f>MOD(162-1,101)</f>
        <v>60</v>
      </c>
    </row>
    <row r="163">
      <c r="A163">
        <f>MOD(163-1,101)</f>
        <v>61</v>
      </c>
    </row>
    <row r="164">
      <c r="A164">
        <f>MOD(164-1,101)</f>
        <v>62</v>
      </c>
    </row>
    <row r="165">
      <c r="A165">
        <f>MOD(165-1,101)</f>
        <v>63</v>
      </c>
    </row>
    <row r="166">
      <c r="A166">
        <f>MOD(166-1,101)</f>
        <v>64</v>
      </c>
    </row>
    <row r="167">
      <c r="A167">
        <f>MOD(167-1,101)</f>
        <v>65</v>
      </c>
    </row>
    <row r="168">
      <c r="A168">
        <f>MOD(168-1,101)</f>
        <v>66</v>
      </c>
    </row>
    <row r="169">
      <c r="A169">
        <f>MOD(169-1,101)</f>
        <v>67</v>
      </c>
    </row>
    <row r="170">
      <c r="A170">
        <f>MOD(170-1,101)</f>
        <v>68</v>
      </c>
    </row>
    <row r="171">
      <c r="A171">
        <f>MOD(171-1,101)</f>
        <v>69</v>
      </c>
    </row>
    <row r="172">
      <c r="A172">
        <f>MOD(172-1,101)</f>
        <v>70</v>
      </c>
    </row>
    <row r="173">
      <c r="A173">
        <f>MOD(173-1,101)</f>
        <v>71</v>
      </c>
    </row>
    <row r="174">
      <c r="A174">
        <f>MOD(174-1,101)</f>
        <v>72</v>
      </c>
    </row>
    <row r="175">
      <c r="A175">
        <f>MOD(175-1,101)</f>
        <v>73</v>
      </c>
    </row>
    <row r="176">
      <c r="A176">
        <f>MOD(176-1,101)</f>
        <v>74</v>
      </c>
    </row>
    <row r="177">
      <c r="A177">
        <f>MOD(177-1,101)</f>
        <v>75</v>
      </c>
    </row>
    <row r="178">
      <c r="A178">
        <f>MOD(178-1,101)</f>
        <v>76</v>
      </c>
    </row>
    <row r="179">
      <c r="A179">
        <f>MOD(179-1,101)</f>
        <v>77</v>
      </c>
    </row>
    <row r="180">
      <c r="A180">
        <f>MOD(180-1,101)</f>
        <v>78</v>
      </c>
    </row>
    <row r="181">
      <c r="A181">
        <f>MOD(181-1,101)</f>
        <v>79</v>
      </c>
    </row>
    <row r="182">
      <c r="A182">
        <f>MOD(182-1,101)</f>
        <v>80</v>
      </c>
    </row>
    <row r="183">
      <c r="A183">
        <f>MOD(183-1,101)</f>
        <v>81</v>
      </c>
    </row>
    <row r="184">
      <c r="A184">
        <f>MOD(184-1,101)</f>
        <v>82</v>
      </c>
    </row>
    <row r="185">
      <c r="A185">
        <f>MOD(185-1,101)</f>
        <v>83</v>
      </c>
    </row>
    <row r="186">
      <c r="A186">
        <f>MOD(186-1,101)</f>
        <v>84</v>
      </c>
    </row>
    <row r="187">
      <c r="A187">
        <f>MOD(187-1,101)</f>
        <v>85</v>
      </c>
    </row>
    <row r="188">
      <c r="A188">
        <f>MOD(188-1,101)</f>
        <v>86</v>
      </c>
    </row>
    <row r="189">
      <c r="A189">
        <f>MOD(189-1,101)</f>
        <v>87</v>
      </c>
    </row>
    <row r="190">
      <c r="A190">
        <f>MOD(190-1,101)</f>
        <v>88</v>
      </c>
    </row>
    <row r="191">
      <c r="A191">
        <f>MOD(191-1,101)</f>
        <v>89</v>
      </c>
    </row>
    <row r="192">
      <c r="A192">
        <f>MOD(192-1,101)</f>
        <v>90</v>
      </c>
    </row>
    <row r="193">
      <c r="A193">
        <f>MOD(193-1,101)</f>
        <v>91</v>
      </c>
    </row>
    <row r="194">
      <c r="A194">
        <f>MOD(194-1,101)</f>
        <v>92</v>
      </c>
    </row>
    <row r="195">
      <c r="A195">
        <f>MOD(195-1,101)</f>
        <v>93</v>
      </c>
    </row>
    <row r="196">
      <c r="A196">
        <f>MOD(196-1,101)</f>
        <v>94</v>
      </c>
    </row>
    <row r="197">
      <c r="A197">
        <f>MOD(197-1,101)</f>
        <v>95</v>
      </c>
    </row>
    <row r="198">
      <c r="A198">
        <f>MOD(198-1,101)</f>
        <v>96</v>
      </c>
    </row>
    <row r="199">
      <c r="A199">
        <f>MOD(199-1,101)</f>
        <v>97</v>
      </c>
    </row>
    <row r="200">
      <c r="A200">
        <f>MOD(200-1,101)</f>
        <v>98</v>
      </c>
    </row>
    <row r="201">
      <c r="A201">
        <f>MOD(201-1,101)</f>
        <v>99</v>
      </c>
    </row>
    <row r="202">
      <c r="A202">
        <f>MOD(202-1,101)</f>
        <v>100</v>
      </c>
    </row>
    <row r="203">
      <c r="A203">
        <f>MOD(203-1,101)</f>
        <v>0</v>
      </c>
    </row>
    <row r="204">
      <c r="A204">
        <f>MOD(204-1,101)</f>
        <v>1</v>
      </c>
    </row>
    <row r="205">
      <c r="A205">
        <f>MOD(205-1,101)</f>
        <v>2</v>
      </c>
    </row>
    <row r="206">
      <c r="A206">
        <f>MOD(206-1,101)</f>
        <v>3</v>
      </c>
    </row>
    <row r="207">
      <c r="A207">
        <f>MOD(207-1,101)</f>
        <v>4</v>
      </c>
    </row>
    <row r="208">
      <c r="A208">
        <f>MOD(208-1,101)</f>
        <v>5</v>
      </c>
    </row>
    <row r="209">
      <c r="A209">
        <f>MOD(209-1,101)</f>
        <v>6</v>
      </c>
    </row>
    <row r="210">
      <c r="A210">
        <f>MOD(210-1,101)</f>
        <v>7</v>
      </c>
    </row>
    <row r="211">
      <c r="A211">
        <f>MOD(211-1,101)</f>
        <v>8</v>
      </c>
    </row>
    <row r="212">
      <c r="A212">
        <f>MOD(212-1,101)</f>
        <v>9</v>
      </c>
    </row>
    <row r="213">
      <c r="A213">
        <f>MOD(213-1,101)</f>
        <v>10</v>
      </c>
    </row>
    <row r="214">
      <c r="A214">
        <f>MOD(214-1,101)</f>
        <v>11</v>
      </c>
    </row>
    <row r="215">
      <c r="A215">
        <f>MOD(215-1,101)</f>
        <v>12</v>
      </c>
    </row>
    <row r="216">
      <c r="A216">
        <f>MOD(216-1,101)</f>
        <v>13</v>
      </c>
    </row>
    <row r="217">
      <c r="A217">
        <f>MOD(217-1,101)</f>
        <v>14</v>
      </c>
    </row>
    <row r="218">
      <c r="A218">
        <f>MOD(218-1,101)</f>
        <v>15</v>
      </c>
    </row>
    <row r="219">
      <c r="A219">
        <f>MOD(219-1,101)</f>
        <v>16</v>
      </c>
    </row>
    <row r="220">
      <c r="A220">
        <f>MOD(220-1,101)</f>
        <v>17</v>
      </c>
    </row>
    <row r="221">
      <c r="A221">
        <f>MOD(221-1,101)</f>
        <v>18</v>
      </c>
    </row>
    <row r="222">
      <c r="A222">
        <f>MOD(222-1,101)</f>
        <v>19</v>
      </c>
    </row>
    <row r="223">
      <c r="A223">
        <f>MOD(223-1,101)</f>
        <v>20</v>
      </c>
    </row>
    <row r="224">
      <c r="A224">
        <f>MOD(224-1,101)</f>
        <v>21</v>
      </c>
    </row>
    <row r="225">
      <c r="A225">
        <f>MOD(225-1,101)</f>
        <v>22</v>
      </c>
    </row>
    <row r="226">
      <c r="A226">
        <f>MOD(226-1,101)</f>
        <v>23</v>
      </c>
    </row>
    <row r="227">
      <c r="A227">
        <f>MOD(227-1,101)</f>
        <v>24</v>
      </c>
    </row>
    <row r="228">
      <c r="A228">
        <f>MOD(228-1,101)</f>
        <v>25</v>
      </c>
    </row>
    <row r="229">
      <c r="A229">
        <f>MOD(229-1,101)</f>
        <v>26</v>
      </c>
    </row>
    <row r="230">
      <c r="A230">
        <f>MOD(230-1,101)</f>
        <v>27</v>
      </c>
    </row>
    <row r="231">
      <c r="A231">
        <f>MOD(231-1,101)</f>
        <v>28</v>
      </c>
    </row>
    <row r="232">
      <c r="A232">
        <f>MOD(232-1,101)</f>
        <v>29</v>
      </c>
    </row>
    <row r="233">
      <c r="A233">
        <f>MOD(233-1,101)</f>
        <v>30</v>
      </c>
    </row>
    <row r="234">
      <c r="A234">
        <f>MOD(234-1,101)</f>
        <v>31</v>
      </c>
    </row>
    <row r="235">
      <c r="A235">
        <f>MOD(235-1,101)</f>
        <v>32</v>
      </c>
    </row>
    <row r="236">
      <c r="A236">
        <f>MOD(236-1,101)</f>
        <v>33</v>
      </c>
    </row>
    <row r="237">
      <c r="A237">
        <f>MOD(237-1,101)</f>
        <v>34</v>
      </c>
    </row>
    <row r="238">
      <c r="A238">
        <f>MOD(238-1,101)</f>
        <v>35</v>
      </c>
    </row>
    <row r="239">
      <c r="A239">
        <f>MOD(239-1,101)</f>
        <v>36</v>
      </c>
    </row>
    <row r="240">
      <c r="A240">
        <f>MOD(240-1,101)</f>
        <v>37</v>
      </c>
    </row>
    <row r="241">
      <c r="A241">
        <f>MOD(241-1,101)</f>
        <v>38</v>
      </c>
    </row>
    <row r="242">
      <c r="A242">
        <f>MOD(242-1,101)</f>
        <v>39</v>
      </c>
    </row>
    <row r="243">
      <c r="A243">
        <f>MOD(243-1,101)</f>
        <v>40</v>
      </c>
    </row>
    <row r="244">
      <c r="A244">
        <f>MOD(244-1,101)</f>
        <v>41</v>
      </c>
    </row>
    <row r="245">
      <c r="A245">
        <f>MOD(245-1,101)</f>
        <v>42</v>
      </c>
    </row>
    <row r="246">
      <c r="A246">
        <f>MOD(246-1,101)</f>
        <v>43</v>
      </c>
    </row>
    <row r="247">
      <c r="A247">
        <f>MOD(247-1,101)</f>
        <v>44</v>
      </c>
    </row>
    <row r="248">
      <c r="A248">
        <f>MOD(248-1,101)</f>
        <v>45</v>
      </c>
    </row>
    <row r="249">
      <c r="A249">
        <f>MOD(249-1,101)</f>
        <v>46</v>
      </c>
    </row>
    <row r="250">
      <c r="A250">
        <f>MOD(250-1,101)</f>
        <v>47</v>
      </c>
    </row>
    <row r="251">
      <c r="A251">
        <f>MOD(251-1,101)</f>
        <v>48</v>
      </c>
    </row>
    <row r="252">
      <c r="A252">
        <f>MOD(252-1,101)</f>
        <v>49</v>
      </c>
    </row>
    <row r="253">
      <c r="A253">
        <f>MOD(253-1,101)</f>
        <v>50</v>
      </c>
    </row>
    <row r="254">
      <c r="A254">
        <f>MOD(254-1,101)</f>
        <v>51</v>
      </c>
    </row>
    <row r="255">
      <c r="A255">
        <f>MOD(255-1,101)</f>
        <v>52</v>
      </c>
    </row>
    <row r="256">
      <c r="A256">
        <f>MOD(256-1,101)</f>
        <v>53</v>
      </c>
    </row>
    <row r="257">
      <c r="A257">
        <f>MOD(257-1,101)</f>
        <v>54</v>
      </c>
    </row>
    <row r="258">
      <c r="A258">
        <f>MOD(258-1,101)</f>
        <v>55</v>
      </c>
    </row>
    <row r="259">
      <c r="A259">
        <f>MOD(259-1,101)</f>
        <v>56</v>
      </c>
    </row>
    <row r="260">
      <c r="A260">
        <f>MOD(260-1,101)</f>
        <v>57</v>
      </c>
    </row>
    <row r="261">
      <c r="A261">
        <f>MOD(261-1,101)</f>
        <v>58</v>
      </c>
    </row>
    <row r="262">
      <c r="A262">
        <f>MOD(262-1,101)</f>
        <v>59</v>
      </c>
    </row>
    <row r="263">
      <c r="A263">
        <f>MOD(263-1,101)</f>
        <v>60</v>
      </c>
    </row>
    <row r="264">
      <c r="A264">
        <f>MOD(264-1,101)</f>
        <v>61</v>
      </c>
    </row>
    <row r="265">
      <c r="A265">
        <f>MOD(265-1,101)</f>
        <v>62</v>
      </c>
    </row>
    <row r="266">
      <c r="A266">
        <f>MOD(266-1,101)</f>
        <v>63</v>
      </c>
    </row>
    <row r="267">
      <c r="A267">
        <f>MOD(267-1,101)</f>
        <v>64</v>
      </c>
    </row>
    <row r="268">
      <c r="A268">
        <f>MOD(268-1,101)</f>
        <v>65</v>
      </c>
    </row>
    <row r="269">
      <c r="A269">
        <f>MOD(269-1,101)</f>
        <v>66</v>
      </c>
    </row>
    <row r="270">
      <c r="A270">
        <f>MOD(270-1,101)</f>
        <v>67</v>
      </c>
    </row>
    <row r="271">
      <c r="A271">
        <f>MOD(271-1,101)</f>
        <v>68</v>
      </c>
    </row>
    <row r="272">
      <c r="A272">
        <f>MOD(272-1,101)</f>
        <v>69</v>
      </c>
    </row>
    <row r="273">
      <c r="A273">
        <f>MOD(273-1,101)</f>
        <v>70</v>
      </c>
    </row>
    <row r="274">
      <c r="A274">
        <f>MOD(274-1,101)</f>
        <v>71</v>
      </c>
    </row>
    <row r="275">
      <c r="A275">
        <f>MOD(275-1,101)</f>
        <v>72</v>
      </c>
    </row>
    <row r="276">
      <c r="A276">
        <f>MOD(276-1,101)</f>
        <v>73</v>
      </c>
    </row>
    <row r="277">
      <c r="A277">
        <f>MOD(277-1,101)</f>
        <v>74</v>
      </c>
    </row>
    <row r="278">
      <c r="A278">
        <f>MOD(278-1,101)</f>
        <v>75</v>
      </c>
    </row>
    <row r="279">
      <c r="A279">
        <f>MOD(279-1,101)</f>
        <v>76</v>
      </c>
    </row>
    <row r="280">
      <c r="A280">
        <f>MOD(280-1,101)</f>
        <v>77</v>
      </c>
    </row>
    <row r="281">
      <c r="A281">
        <f>MOD(281-1,101)</f>
        <v>78</v>
      </c>
    </row>
    <row r="282">
      <c r="A282">
        <f>MOD(282-1,101)</f>
        <v>79</v>
      </c>
    </row>
    <row r="283">
      <c r="A283">
        <f>MOD(283-1,101)</f>
        <v>80</v>
      </c>
    </row>
    <row r="284">
      <c r="A284">
        <f>MOD(284-1,101)</f>
        <v>81</v>
      </c>
    </row>
    <row r="285">
      <c r="A285">
        <f>MOD(285-1,101)</f>
        <v>82</v>
      </c>
    </row>
    <row r="286">
      <c r="A286">
        <f>MOD(286-1,101)</f>
        <v>83</v>
      </c>
    </row>
    <row r="287">
      <c r="A287">
        <f>MOD(287-1,101)</f>
        <v>84</v>
      </c>
    </row>
    <row r="288">
      <c r="A288">
        <f>MOD(288-1,101)</f>
        <v>85</v>
      </c>
    </row>
    <row r="289">
      <c r="A289">
        <f>MOD(289-1,101)</f>
        <v>86</v>
      </c>
    </row>
    <row r="290">
      <c r="A290">
        <f>MOD(290-1,101)</f>
        <v>87</v>
      </c>
    </row>
    <row r="291">
      <c r="A291">
        <f>MOD(291-1,101)</f>
        <v>88</v>
      </c>
    </row>
    <row r="292">
      <c r="A292">
        <f>MOD(292-1,101)</f>
        <v>89</v>
      </c>
    </row>
    <row r="293">
      <c r="A293">
        <f>MOD(293-1,101)</f>
        <v>90</v>
      </c>
    </row>
    <row r="294">
      <c r="A294">
        <f>MOD(294-1,101)</f>
        <v>91</v>
      </c>
    </row>
    <row r="295">
      <c r="A295">
        <f>MOD(295-1,101)</f>
        <v>92</v>
      </c>
    </row>
    <row r="296">
      <c r="A296">
        <f>MOD(296-1,101)</f>
        <v>93</v>
      </c>
    </row>
    <row r="297">
      <c r="A297">
        <f>MOD(297-1,101)</f>
        <v>94</v>
      </c>
    </row>
    <row r="298">
      <c r="A298">
        <f>MOD(298-1,101)</f>
        <v>95</v>
      </c>
    </row>
    <row r="299">
      <c r="A299">
        <f>MOD(299-1,101)</f>
        <v>96</v>
      </c>
    </row>
    <row r="300">
      <c r="A300">
        <f>MOD(300-1,101)</f>
        <v>97</v>
      </c>
    </row>
    <row r="301">
      <c r="A301">
        <f>MOD(301-1,101)</f>
        <v>98</v>
      </c>
    </row>
    <row r="302">
      <c r="A302">
        <f>MOD(302-1,101)</f>
        <v>99</v>
      </c>
    </row>
    <row r="303">
      <c r="A303">
        <f>MOD(303-1,101)</f>
        <v>100</v>
      </c>
    </row>
    <row r="304">
      <c r="A304">
        <f>MOD(304-1,101)</f>
        <v>0</v>
      </c>
    </row>
    <row r="305">
      <c r="A305">
        <f>MOD(305-1,101)</f>
        <v>1</v>
      </c>
    </row>
    <row r="306">
      <c r="A306">
        <f>MOD(306-1,101)</f>
        <v>2</v>
      </c>
    </row>
    <row r="307">
      <c r="A307">
        <f>MOD(307-1,101)</f>
        <v>3</v>
      </c>
    </row>
    <row r="308">
      <c r="A308">
        <f>MOD(308-1,101)</f>
        <v>4</v>
      </c>
    </row>
    <row r="309">
      <c r="A309">
        <f>MOD(309-1,101)</f>
        <v>5</v>
      </c>
    </row>
    <row r="310">
      <c r="A310">
        <f>MOD(310-1,101)</f>
        <v>6</v>
      </c>
    </row>
    <row r="311">
      <c r="A311">
        <f>MOD(311-1,101)</f>
        <v>7</v>
      </c>
    </row>
    <row r="312">
      <c r="A312">
        <f>MOD(312-1,101)</f>
        <v>8</v>
      </c>
    </row>
    <row r="313">
      <c r="A313">
        <f>MOD(313-1,101)</f>
        <v>9</v>
      </c>
    </row>
    <row r="314">
      <c r="A314">
        <f>MOD(314-1,101)</f>
        <v>10</v>
      </c>
    </row>
    <row r="315">
      <c r="A315">
        <f>MOD(315-1,101)</f>
        <v>11</v>
      </c>
    </row>
    <row r="316">
      <c r="A316">
        <f>MOD(316-1,101)</f>
        <v>12</v>
      </c>
    </row>
    <row r="317">
      <c r="A317">
        <f>MOD(317-1,101)</f>
        <v>13</v>
      </c>
    </row>
    <row r="318">
      <c r="A318">
        <f>MOD(318-1,101)</f>
        <v>14</v>
      </c>
    </row>
    <row r="319">
      <c r="A319">
        <f>MOD(319-1,101)</f>
        <v>15</v>
      </c>
    </row>
    <row r="320">
      <c r="A320">
        <f>MOD(320-1,101)</f>
        <v>16</v>
      </c>
    </row>
    <row r="321">
      <c r="A321">
        <f>MOD(321-1,101)</f>
        <v>17</v>
      </c>
    </row>
    <row r="322">
      <c r="A322">
        <f>MOD(322-1,101)</f>
        <v>18</v>
      </c>
    </row>
    <row r="323">
      <c r="A323">
        <f>MOD(323-1,101)</f>
        <v>19</v>
      </c>
    </row>
    <row r="324">
      <c r="A324">
        <f>MOD(324-1,101)</f>
        <v>20</v>
      </c>
    </row>
    <row r="325">
      <c r="A325">
        <f>MOD(325-1,101)</f>
        <v>21</v>
      </c>
    </row>
    <row r="326">
      <c r="A326">
        <f>MOD(326-1,101)</f>
        <v>22</v>
      </c>
    </row>
    <row r="327">
      <c r="A327">
        <f>MOD(327-1,101)</f>
        <v>23</v>
      </c>
    </row>
    <row r="328">
      <c r="A328">
        <f>MOD(328-1,101)</f>
        <v>24</v>
      </c>
    </row>
    <row r="329">
      <c r="A329">
        <f>MOD(329-1,101)</f>
        <v>25</v>
      </c>
    </row>
    <row r="330">
      <c r="A330">
        <f>MOD(330-1,101)</f>
        <v>26</v>
      </c>
    </row>
    <row r="331">
      <c r="A331">
        <f>MOD(331-1,101)</f>
        <v>27</v>
      </c>
    </row>
    <row r="332">
      <c r="A332">
        <f>MOD(332-1,101)</f>
        <v>28</v>
      </c>
    </row>
    <row r="333">
      <c r="A333">
        <f>MOD(333-1,101)</f>
        <v>29</v>
      </c>
    </row>
    <row r="334">
      <c r="A334">
        <f>MOD(334-1,101)</f>
        <v>30</v>
      </c>
    </row>
    <row r="335">
      <c r="A335">
        <f>MOD(335-1,101)</f>
        <v>31</v>
      </c>
    </row>
    <row r="336">
      <c r="A336">
        <f>MOD(336-1,101)</f>
        <v>32</v>
      </c>
    </row>
    <row r="337">
      <c r="A337">
        <f>MOD(337-1,101)</f>
        <v>33</v>
      </c>
    </row>
    <row r="338">
      <c r="A338">
        <f>MOD(338-1,101)</f>
        <v>34</v>
      </c>
    </row>
    <row r="339">
      <c r="A339">
        <f>MOD(339-1,101)</f>
        <v>35</v>
      </c>
    </row>
    <row r="340">
      <c r="A340">
        <f>MOD(340-1,101)</f>
        <v>36</v>
      </c>
    </row>
    <row r="341">
      <c r="A341">
        <f>MOD(341-1,101)</f>
        <v>37</v>
      </c>
    </row>
    <row r="342">
      <c r="A342">
        <f>MOD(342-1,101)</f>
        <v>38</v>
      </c>
    </row>
    <row r="343">
      <c r="A343">
        <f>MOD(343-1,101)</f>
        <v>39</v>
      </c>
    </row>
    <row r="344">
      <c r="A344">
        <f>MOD(344-1,101)</f>
        <v>40</v>
      </c>
    </row>
    <row r="345">
      <c r="A345">
        <f>MOD(345-1,101)</f>
        <v>41</v>
      </c>
    </row>
    <row r="346">
      <c r="A346">
        <f>MOD(346-1,101)</f>
        <v>42</v>
      </c>
    </row>
    <row r="347">
      <c r="A347">
        <f>MOD(347-1,101)</f>
        <v>43</v>
      </c>
    </row>
    <row r="348">
      <c r="A348">
        <f>MOD(348-1,101)</f>
        <v>44</v>
      </c>
    </row>
    <row r="349">
      <c r="A349">
        <f>MOD(349-1,101)</f>
        <v>45</v>
      </c>
    </row>
    <row r="350">
      <c r="A350">
        <f>MOD(350-1,101)</f>
        <v>46</v>
      </c>
    </row>
    <row r="351">
      <c r="A351">
        <f>MOD(351-1,101)</f>
        <v>47</v>
      </c>
    </row>
    <row r="352">
      <c r="A352">
        <f>MOD(352-1,101)</f>
        <v>48</v>
      </c>
    </row>
    <row r="353">
      <c r="A353">
        <f>MOD(353-1,101)</f>
        <v>49</v>
      </c>
    </row>
    <row r="354">
      <c r="A354">
        <f>MOD(354-1,101)</f>
        <v>50</v>
      </c>
    </row>
    <row r="355">
      <c r="A355">
        <f>MOD(355-1,101)</f>
        <v>51</v>
      </c>
    </row>
    <row r="356">
      <c r="A356">
        <f>MOD(356-1,101)</f>
        <v>52</v>
      </c>
    </row>
    <row r="357">
      <c r="A357">
        <f>MOD(357-1,101)</f>
        <v>53</v>
      </c>
    </row>
    <row r="358">
      <c r="A358">
        <f>MOD(358-1,101)</f>
        <v>54</v>
      </c>
    </row>
    <row r="359">
      <c r="A359">
        <f>MOD(359-1,101)</f>
        <v>55</v>
      </c>
    </row>
    <row r="360">
      <c r="A360">
        <f>MOD(360-1,101)</f>
        <v>56</v>
      </c>
    </row>
    <row r="361">
      <c r="A361">
        <f>MOD(361-1,101)</f>
        <v>57</v>
      </c>
    </row>
    <row r="362">
      <c r="A362">
        <f>MOD(362-1,101)</f>
        <v>58</v>
      </c>
    </row>
    <row r="363">
      <c r="A363">
        <f>MOD(363-1,101)</f>
        <v>59</v>
      </c>
    </row>
    <row r="364">
      <c r="A364">
        <f>MOD(364-1,101)</f>
        <v>60</v>
      </c>
    </row>
    <row r="365">
      <c r="A365">
        <f>MOD(365-1,101)</f>
        <v>61</v>
      </c>
    </row>
    <row r="366">
      <c r="A366">
        <f>MOD(366-1,101)</f>
        <v>62</v>
      </c>
    </row>
    <row r="367">
      <c r="A367">
        <f>MOD(367-1,101)</f>
        <v>63</v>
      </c>
    </row>
    <row r="368">
      <c r="A368">
        <f>MOD(368-1,101)</f>
        <v>64</v>
      </c>
    </row>
    <row r="369">
      <c r="A369">
        <f>MOD(369-1,101)</f>
        <v>65</v>
      </c>
    </row>
    <row r="370">
      <c r="A370">
        <f>MOD(370-1,101)</f>
        <v>66</v>
      </c>
    </row>
    <row r="371">
      <c r="A371">
        <f>MOD(371-1,101)</f>
        <v>67</v>
      </c>
    </row>
    <row r="372">
      <c r="A372">
        <f>MOD(372-1,101)</f>
        <v>68</v>
      </c>
    </row>
    <row r="373">
      <c r="A373">
        <f>MOD(373-1,101)</f>
        <v>69</v>
      </c>
    </row>
    <row r="374">
      <c r="A374">
        <f>MOD(374-1,101)</f>
        <v>70</v>
      </c>
    </row>
    <row r="375">
      <c r="A375">
        <f>MOD(375-1,101)</f>
        <v>71</v>
      </c>
    </row>
    <row r="376">
      <c r="A376">
        <f>MOD(376-1,101)</f>
        <v>72</v>
      </c>
    </row>
    <row r="377">
      <c r="A377">
        <f>MOD(377-1,101)</f>
        <v>73</v>
      </c>
    </row>
    <row r="378">
      <c r="A378">
        <f>MOD(378-1,101)</f>
        <v>74</v>
      </c>
    </row>
    <row r="379">
      <c r="A379">
        <f>MOD(379-1,101)</f>
        <v>75</v>
      </c>
    </row>
    <row r="380">
      <c r="A380">
        <f>MOD(380-1,101)</f>
        <v>76</v>
      </c>
    </row>
    <row r="381">
      <c r="A381">
        <f>MOD(381-1,101)</f>
        <v>77</v>
      </c>
    </row>
    <row r="382">
      <c r="A382">
        <f>MOD(382-1,101)</f>
        <v>78</v>
      </c>
    </row>
    <row r="383">
      <c r="A383">
        <f>MOD(383-1,101)</f>
        <v>79</v>
      </c>
    </row>
    <row r="384">
      <c r="A384">
        <f>MOD(384-1,101)</f>
        <v>80</v>
      </c>
    </row>
    <row r="385">
      <c r="A385">
        <f>MOD(385-1,101)</f>
        <v>81</v>
      </c>
    </row>
    <row r="386">
      <c r="A386">
        <f>MOD(386-1,101)</f>
        <v>82</v>
      </c>
    </row>
    <row r="387">
      <c r="A387">
        <f>MOD(387-1,101)</f>
        <v>83</v>
      </c>
    </row>
    <row r="388">
      <c r="A388">
        <f>MOD(388-1,101)</f>
        <v>84</v>
      </c>
    </row>
    <row r="389">
      <c r="A389">
        <f>MOD(389-1,101)</f>
        <v>85</v>
      </c>
    </row>
    <row r="390">
      <c r="A390">
        <f>MOD(390-1,101)</f>
        <v>86</v>
      </c>
    </row>
    <row r="391">
      <c r="A391">
        <f>MOD(391-1,101)</f>
        <v>87</v>
      </c>
    </row>
    <row r="392">
      <c r="A392">
        <f>MOD(392-1,101)</f>
        <v>88</v>
      </c>
    </row>
    <row r="393">
      <c r="A393">
        <f>MOD(393-1,101)</f>
        <v>89</v>
      </c>
    </row>
    <row r="394">
      <c r="A394">
        <f>MOD(394-1,101)</f>
        <v>90</v>
      </c>
    </row>
    <row r="395">
      <c r="A395">
        <f>MOD(395-1,101)</f>
        <v>91</v>
      </c>
    </row>
    <row r="396">
      <c r="A396">
        <f>MOD(396-1,101)</f>
        <v>92</v>
      </c>
    </row>
    <row r="397">
      <c r="A397">
        <f>MOD(397-1,101)</f>
        <v>93</v>
      </c>
    </row>
    <row r="398">
      <c r="A398">
        <f>MOD(398-1,101)</f>
        <v>94</v>
      </c>
    </row>
    <row r="399">
      <c r="A399">
        <f>MOD(399-1,101)</f>
        <v>95</v>
      </c>
    </row>
    <row r="400">
      <c r="A400">
        <f>MOD(400-1,101)</f>
        <v>96</v>
      </c>
    </row>
    <row r="401">
      <c r="A401">
        <f>MOD(401-1,101)</f>
        <v>97</v>
      </c>
    </row>
    <row r="402">
      <c r="A402">
        <f>MOD(402-1,101)</f>
        <v>98</v>
      </c>
    </row>
    <row r="403">
      <c r="A403">
        <f>MOD(403-1,101)</f>
        <v>99</v>
      </c>
    </row>
    <row r="404">
      <c r="A404">
        <f>MOD(404-1,101)</f>
        <v>100</v>
      </c>
    </row>
    <row r="405">
      <c r="A405">
        <f>MOD(405-1,101)</f>
        <v>0</v>
      </c>
    </row>
    <row r="406">
      <c r="A406">
        <f>MOD(406-1,101)</f>
        <v>1</v>
      </c>
    </row>
    <row r="407">
      <c r="A407">
        <f>MOD(407-1,101)</f>
        <v>2</v>
      </c>
    </row>
    <row r="408">
      <c r="A408">
        <f>MOD(408-1,101)</f>
        <v>3</v>
      </c>
    </row>
    <row r="409">
      <c r="A409">
        <f>MOD(409-1,101)</f>
        <v>4</v>
      </c>
    </row>
    <row r="410">
      <c r="A410">
        <f>MOD(410-1,101)</f>
        <v>5</v>
      </c>
    </row>
    <row r="411">
      <c r="A411">
        <f>MOD(411-1,101)</f>
        <v>6</v>
      </c>
    </row>
    <row r="412">
      <c r="A412">
        <f>MOD(412-1,101)</f>
        <v>7</v>
      </c>
    </row>
    <row r="413">
      <c r="A413">
        <f>MOD(413-1,101)</f>
        <v>8</v>
      </c>
    </row>
    <row r="414">
      <c r="A414">
        <f>MOD(414-1,101)</f>
        <v>9</v>
      </c>
    </row>
    <row r="415">
      <c r="A415">
        <f>MOD(415-1,101)</f>
        <v>10</v>
      </c>
    </row>
    <row r="416">
      <c r="A416">
        <f>MOD(416-1,101)</f>
        <v>11</v>
      </c>
    </row>
    <row r="417">
      <c r="A417">
        <f>MOD(417-1,101)</f>
        <v>12</v>
      </c>
    </row>
    <row r="418">
      <c r="A418">
        <f>MOD(418-1,101)</f>
        <v>13</v>
      </c>
    </row>
    <row r="419">
      <c r="A419">
        <f>MOD(419-1,101)</f>
        <v>14</v>
      </c>
    </row>
    <row r="420">
      <c r="A420">
        <f>MOD(420-1,101)</f>
        <v>15</v>
      </c>
    </row>
    <row r="421">
      <c r="A421">
        <f>MOD(421-1,101)</f>
        <v>16</v>
      </c>
    </row>
    <row r="422">
      <c r="A422">
        <f>MOD(422-1,101)</f>
        <v>17</v>
      </c>
    </row>
    <row r="423">
      <c r="A423">
        <f>MOD(423-1,101)</f>
        <v>18</v>
      </c>
    </row>
    <row r="424">
      <c r="A424">
        <f>MOD(424-1,101)</f>
        <v>19</v>
      </c>
    </row>
    <row r="425">
      <c r="A425">
        <f>MOD(425-1,101)</f>
        <v>20</v>
      </c>
    </row>
    <row r="426">
      <c r="A426">
        <f>MOD(426-1,101)</f>
        <v>21</v>
      </c>
    </row>
    <row r="427">
      <c r="A427">
        <f>MOD(427-1,101)</f>
        <v>22</v>
      </c>
    </row>
    <row r="428">
      <c r="A428">
        <f>MOD(428-1,101)</f>
        <v>23</v>
      </c>
    </row>
    <row r="429">
      <c r="A429">
        <f>MOD(429-1,101)</f>
        <v>24</v>
      </c>
    </row>
    <row r="430">
      <c r="A430">
        <f>MOD(430-1,101)</f>
        <v>25</v>
      </c>
    </row>
    <row r="431">
      <c r="A431">
        <f>MOD(431-1,101)</f>
        <v>26</v>
      </c>
    </row>
    <row r="432">
      <c r="A432">
        <f>MOD(432-1,101)</f>
        <v>27</v>
      </c>
    </row>
    <row r="433">
      <c r="A433">
        <f>MOD(433-1,101)</f>
        <v>28</v>
      </c>
    </row>
    <row r="434">
      <c r="A434">
        <f>MOD(434-1,101)</f>
        <v>29</v>
      </c>
    </row>
    <row r="435">
      <c r="A435">
        <f>MOD(435-1,101)</f>
        <v>30</v>
      </c>
    </row>
    <row r="436">
      <c r="A436">
        <f>MOD(436-1,101)</f>
        <v>31</v>
      </c>
    </row>
    <row r="437">
      <c r="A437">
        <f>MOD(437-1,101)</f>
        <v>32</v>
      </c>
    </row>
    <row r="438">
      <c r="A438">
        <f>MOD(438-1,101)</f>
        <v>33</v>
      </c>
    </row>
    <row r="439">
      <c r="A439">
        <f>MOD(439-1,101)</f>
        <v>34</v>
      </c>
    </row>
    <row r="440">
      <c r="A440">
        <f>MOD(440-1,101)</f>
        <v>35</v>
      </c>
    </row>
    <row r="441">
      <c r="A441">
        <f>MOD(441-1,101)</f>
        <v>36</v>
      </c>
    </row>
    <row r="442">
      <c r="A442">
        <f>MOD(442-1,101)</f>
        <v>37</v>
      </c>
    </row>
    <row r="443">
      <c r="A443">
        <f>MOD(443-1,101)</f>
        <v>38</v>
      </c>
    </row>
    <row r="444">
      <c r="A444">
        <f>MOD(444-1,101)</f>
        <v>39</v>
      </c>
    </row>
    <row r="445">
      <c r="A445">
        <f>MOD(445-1,101)</f>
        <v>40</v>
      </c>
    </row>
    <row r="446">
      <c r="A446">
        <f>MOD(446-1,101)</f>
        <v>41</v>
      </c>
    </row>
    <row r="447">
      <c r="A447">
        <f>MOD(447-1,101)</f>
        <v>42</v>
      </c>
    </row>
    <row r="448">
      <c r="A448">
        <f>MOD(448-1,101)</f>
        <v>43</v>
      </c>
    </row>
    <row r="449">
      <c r="A449">
        <f>MOD(449-1,101)</f>
        <v>44</v>
      </c>
    </row>
    <row r="450">
      <c r="A450">
        <f>MOD(450-1,101)</f>
        <v>45</v>
      </c>
    </row>
    <row r="451">
      <c r="A451">
        <f>MOD(451-1,101)</f>
        <v>46</v>
      </c>
    </row>
    <row r="452">
      <c r="A452">
        <f>MOD(452-1,101)</f>
        <v>47</v>
      </c>
    </row>
    <row r="453">
      <c r="A453">
        <f>MOD(453-1,101)</f>
        <v>48</v>
      </c>
    </row>
    <row r="454">
      <c r="A454">
        <f>MOD(454-1,101)</f>
        <v>49</v>
      </c>
    </row>
    <row r="455">
      <c r="A455">
        <f>MOD(455-1,101)</f>
        <v>50</v>
      </c>
    </row>
    <row r="456">
      <c r="A456">
        <f>MOD(456-1,101)</f>
        <v>51</v>
      </c>
    </row>
    <row r="457">
      <c r="A457">
        <f>MOD(457-1,101)</f>
        <v>52</v>
      </c>
    </row>
    <row r="458">
      <c r="A458">
        <f>MOD(458-1,101)</f>
        <v>53</v>
      </c>
    </row>
    <row r="459">
      <c r="A459">
        <f>MOD(459-1,101)</f>
        <v>54</v>
      </c>
    </row>
    <row r="460">
      <c r="A460">
        <f>MOD(460-1,101)</f>
        <v>55</v>
      </c>
    </row>
    <row r="461">
      <c r="A461">
        <f>MOD(461-1,101)</f>
        <v>56</v>
      </c>
    </row>
    <row r="462">
      <c r="A462">
        <f>MOD(462-1,101)</f>
        <v>57</v>
      </c>
    </row>
    <row r="463">
      <c r="A463">
        <f>MOD(463-1,101)</f>
        <v>58</v>
      </c>
    </row>
    <row r="464">
      <c r="A464">
        <f>MOD(464-1,101)</f>
        <v>59</v>
      </c>
    </row>
    <row r="465">
      <c r="A465">
        <f>MOD(465-1,101)</f>
        <v>60</v>
      </c>
    </row>
    <row r="466">
      <c r="A466">
        <f>MOD(466-1,101)</f>
        <v>61</v>
      </c>
    </row>
    <row r="467">
      <c r="A467">
        <f>MOD(467-1,101)</f>
        <v>62</v>
      </c>
    </row>
    <row r="468">
      <c r="A468">
        <f>MOD(468-1,101)</f>
        <v>63</v>
      </c>
    </row>
    <row r="469">
      <c r="A469">
        <f>MOD(469-1,101)</f>
        <v>64</v>
      </c>
    </row>
    <row r="470">
      <c r="A470">
        <f>MOD(470-1,101)</f>
        <v>65</v>
      </c>
    </row>
    <row r="471">
      <c r="A471">
        <f>MOD(471-1,101)</f>
        <v>66</v>
      </c>
    </row>
    <row r="472">
      <c r="A472">
        <f>MOD(472-1,101)</f>
        <v>67</v>
      </c>
    </row>
    <row r="473">
      <c r="A473">
        <f>MOD(473-1,101)</f>
        <v>68</v>
      </c>
    </row>
    <row r="474">
      <c r="A474">
        <f>MOD(474-1,101)</f>
        <v>69</v>
      </c>
    </row>
    <row r="475">
      <c r="A475">
        <f>MOD(475-1,101)</f>
        <v>70</v>
      </c>
    </row>
    <row r="476">
      <c r="A476">
        <f>MOD(476-1,101)</f>
        <v>71</v>
      </c>
    </row>
    <row r="477">
      <c r="A477">
        <f>MOD(477-1,101)</f>
        <v>72</v>
      </c>
    </row>
    <row r="478">
      <c r="A478">
        <f>MOD(478-1,101)</f>
        <v>73</v>
      </c>
    </row>
    <row r="479">
      <c r="A479">
        <f>MOD(479-1,101)</f>
        <v>74</v>
      </c>
    </row>
    <row r="480">
      <c r="A480">
        <f>MOD(480-1,101)</f>
        <v>75</v>
      </c>
    </row>
    <row r="481">
      <c r="A481">
        <f>MOD(481-1,101)</f>
        <v>76</v>
      </c>
    </row>
    <row r="482">
      <c r="A482">
        <f>MOD(482-1,101)</f>
        <v>77</v>
      </c>
    </row>
    <row r="483">
      <c r="A483">
        <f>MOD(483-1,101)</f>
        <v>78</v>
      </c>
    </row>
    <row r="484">
      <c r="A484">
        <f>MOD(484-1,101)</f>
        <v>79</v>
      </c>
    </row>
    <row r="485">
      <c r="A485">
        <f>MOD(485-1,101)</f>
        <v>80</v>
      </c>
    </row>
    <row r="486">
      <c r="A486">
        <f>MOD(486-1,101)</f>
        <v>81</v>
      </c>
    </row>
    <row r="487">
      <c r="A487">
        <f>MOD(487-1,101)</f>
        <v>82</v>
      </c>
    </row>
    <row r="488">
      <c r="A488">
        <f>MOD(488-1,101)</f>
        <v>83</v>
      </c>
    </row>
    <row r="489">
      <c r="A489">
        <f>MOD(489-1,101)</f>
        <v>84</v>
      </c>
    </row>
    <row r="490">
      <c r="A490">
        <f>MOD(490-1,101)</f>
        <v>85</v>
      </c>
    </row>
    <row r="491">
      <c r="A491">
        <f>MOD(491-1,101)</f>
        <v>86</v>
      </c>
    </row>
    <row r="492">
      <c r="A492">
        <f>MOD(492-1,101)</f>
        <v>87</v>
      </c>
    </row>
    <row r="493">
      <c r="A493">
        <f>MOD(493-1,101)</f>
        <v>88</v>
      </c>
    </row>
    <row r="494">
      <c r="A494">
        <f>MOD(494-1,101)</f>
        <v>89</v>
      </c>
    </row>
    <row r="495">
      <c r="A495">
        <f>MOD(495-1,101)</f>
        <v>90</v>
      </c>
    </row>
    <row r="496">
      <c r="A496">
        <f>MOD(496-1,101)</f>
        <v>91</v>
      </c>
    </row>
    <row r="497">
      <c r="A497">
        <f>MOD(497-1,101)</f>
        <v>92</v>
      </c>
    </row>
    <row r="498">
      <c r="A498">
        <f>MOD(498-1,101)</f>
        <v>93</v>
      </c>
    </row>
    <row r="499">
      <c r="A499">
        <f>MOD(499-1,101)</f>
        <v>94</v>
      </c>
    </row>
    <row r="500">
      <c r="A500">
        <f>MOD(500-1,101)</f>
        <v>95</v>
      </c>
    </row>
    <row r="501">
      <c r="A501">
        <f>MOD(501-1,101)</f>
        <v>96</v>
      </c>
    </row>
    <row r="502">
      <c r="A502">
        <f>MOD(502-1,101)</f>
        <v>97</v>
      </c>
    </row>
    <row r="503">
      <c r="A503">
        <f>MOD(503-1,101)</f>
        <v>98</v>
      </c>
    </row>
    <row r="504">
      <c r="A504">
        <f>MOD(504-1,101)</f>
        <v>99</v>
      </c>
    </row>
    <row r="505">
      <c r="A505">
        <f>MOD(505-1,101)</f>
        <v>100</v>
      </c>
    </row>
    <row r="506">
      <c r="A506">
        <f>MOD(506-1,101)</f>
        <v>0</v>
      </c>
    </row>
    <row r="507">
      <c r="A507">
        <f>MOD(507-1,101)</f>
        <v>1</v>
      </c>
    </row>
    <row r="508">
      <c r="A508">
        <f>MOD(508-1,101)</f>
        <v>2</v>
      </c>
    </row>
    <row r="509">
      <c r="A509">
        <f>MOD(509-1,101)</f>
        <v>3</v>
      </c>
    </row>
    <row r="510">
      <c r="A510">
        <f>MOD(510-1,101)</f>
        <v>4</v>
      </c>
    </row>
    <row r="511">
      <c r="A511">
        <f>MOD(511-1,101)</f>
        <v>5</v>
      </c>
    </row>
    <row r="512">
      <c r="A512">
        <f>MOD(512-1,101)</f>
        <v>6</v>
      </c>
    </row>
    <row r="513">
      <c r="A513">
        <f>MOD(513-1,101)</f>
        <v>7</v>
      </c>
    </row>
    <row r="514">
      <c r="A514">
        <f>MOD(514-1,101)</f>
        <v>8</v>
      </c>
    </row>
    <row r="515">
      <c r="A515">
        <f>MOD(515-1,101)</f>
        <v>9</v>
      </c>
    </row>
    <row r="516">
      <c r="A516">
        <f>MOD(516-1,101)</f>
        <v>10</v>
      </c>
    </row>
    <row r="517">
      <c r="A517">
        <f>MOD(517-1,101)</f>
        <v>11</v>
      </c>
    </row>
    <row r="518">
      <c r="A518">
        <f>MOD(518-1,101)</f>
        <v>12</v>
      </c>
    </row>
    <row r="519">
      <c r="A519">
        <f>MOD(519-1,101)</f>
        <v>13</v>
      </c>
    </row>
    <row r="520">
      <c r="A520">
        <f>MOD(520-1,101)</f>
        <v>14</v>
      </c>
    </row>
    <row r="521">
      <c r="A521">
        <f>MOD(521-1,101)</f>
        <v>15</v>
      </c>
    </row>
    <row r="522">
      <c r="A522">
        <f>MOD(522-1,101)</f>
        <v>16</v>
      </c>
    </row>
    <row r="523">
      <c r="A523">
        <f>MOD(523-1,101)</f>
        <v>17</v>
      </c>
    </row>
    <row r="524">
      <c r="A524">
        <f>MOD(524-1,101)</f>
        <v>18</v>
      </c>
    </row>
    <row r="525">
      <c r="A525">
        <f>MOD(525-1,101)</f>
        <v>19</v>
      </c>
    </row>
    <row r="526">
      <c r="A526">
        <f>MOD(526-1,101)</f>
        <v>20</v>
      </c>
    </row>
    <row r="527">
      <c r="A527">
        <f>MOD(527-1,101)</f>
        <v>21</v>
      </c>
    </row>
    <row r="528">
      <c r="A528">
        <f>MOD(528-1,101)</f>
        <v>22</v>
      </c>
    </row>
    <row r="529">
      <c r="A529">
        <f>MOD(529-1,101)</f>
        <v>23</v>
      </c>
    </row>
    <row r="530">
      <c r="A530">
        <f>MOD(530-1,101)</f>
        <v>24</v>
      </c>
    </row>
    <row r="531">
      <c r="A531">
        <f>MOD(531-1,101)</f>
        <v>25</v>
      </c>
    </row>
    <row r="532">
      <c r="A532">
        <f>MOD(532-1,101)</f>
        <v>26</v>
      </c>
    </row>
    <row r="533">
      <c r="A533">
        <f>MOD(533-1,101)</f>
        <v>27</v>
      </c>
    </row>
    <row r="534">
      <c r="A534">
        <f>MOD(534-1,101)</f>
        <v>28</v>
      </c>
    </row>
    <row r="535">
      <c r="A535">
        <f>MOD(535-1,101)</f>
        <v>29</v>
      </c>
    </row>
    <row r="536">
      <c r="A536">
        <f>MOD(536-1,101)</f>
        <v>30</v>
      </c>
    </row>
    <row r="537">
      <c r="A537">
        <f>MOD(537-1,101)</f>
        <v>31</v>
      </c>
    </row>
    <row r="538">
      <c r="A538">
        <f>MOD(538-1,101)</f>
        <v>32</v>
      </c>
    </row>
    <row r="539">
      <c r="A539">
        <f>MOD(539-1,101)</f>
        <v>33</v>
      </c>
    </row>
    <row r="540">
      <c r="A540">
        <f>MOD(540-1,101)</f>
        <v>34</v>
      </c>
    </row>
    <row r="541">
      <c r="A541">
        <f>MOD(541-1,101)</f>
        <v>35</v>
      </c>
    </row>
    <row r="542">
      <c r="A542">
        <f>MOD(542-1,101)</f>
        <v>36</v>
      </c>
    </row>
    <row r="543">
      <c r="A543">
        <f>MOD(543-1,101)</f>
        <v>37</v>
      </c>
    </row>
    <row r="544">
      <c r="A544">
        <f>MOD(544-1,101)</f>
        <v>38</v>
      </c>
    </row>
    <row r="545">
      <c r="A545">
        <f>MOD(545-1,101)</f>
        <v>39</v>
      </c>
    </row>
    <row r="546">
      <c r="A546">
        <f>MOD(546-1,101)</f>
        <v>40</v>
      </c>
    </row>
    <row r="547">
      <c r="A547">
        <f>MOD(547-1,101)</f>
        <v>41</v>
      </c>
    </row>
    <row r="548">
      <c r="A548">
        <f>MOD(548-1,101)</f>
        <v>42</v>
      </c>
    </row>
    <row r="549">
      <c r="A549">
        <f>MOD(549-1,101)</f>
        <v>43</v>
      </c>
    </row>
    <row r="550">
      <c r="A550">
        <f>MOD(550-1,101)</f>
        <v>44</v>
      </c>
    </row>
    <row r="551">
      <c r="A551">
        <f>MOD(551-1,101)</f>
        <v>45</v>
      </c>
    </row>
    <row r="552">
      <c r="A552">
        <f>MOD(552-1,101)</f>
        <v>46</v>
      </c>
    </row>
    <row r="553">
      <c r="A553">
        <f>MOD(553-1,101)</f>
        <v>47</v>
      </c>
    </row>
    <row r="554">
      <c r="A554">
        <f>MOD(554-1,101)</f>
        <v>48</v>
      </c>
    </row>
    <row r="555">
      <c r="A555">
        <f>MOD(555-1,101)</f>
        <v>49</v>
      </c>
    </row>
    <row r="556">
      <c r="A556">
        <f>MOD(556-1,101)</f>
        <v>50</v>
      </c>
    </row>
    <row r="557">
      <c r="A557">
        <f>MOD(557-1,101)</f>
        <v>51</v>
      </c>
    </row>
    <row r="558">
      <c r="A558">
        <f>MOD(558-1,101)</f>
        <v>52</v>
      </c>
    </row>
    <row r="559">
      <c r="A559">
        <f>MOD(559-1,101)</f>
        <v>53</v>
      </c>
    </row>
    <row r="560">
      <c r="A560">
        <f>MOD(560-1,101)</f>
        <v>54</v>
      </c>
    </row>
    <row r="561">
      <c r="A561">
        <f>MOD(561-1,101)</f>
        <v>55</v>
      </c>
    </row>
    <row r="562">
      <c r="A562">
        <f>MOD(562-1,101)</f>
        <v>56</v>
      </c>
    </row>
    <row r="563">
      <c r="A563">
        <f>MOD(563-1,101)</f>
        <v>57</v>
      </c>
    </row>
    <row r="564">
      <c r="A564">
        <f>MOD(564-1,101)</f>
        <v>58</v>
      </c>
    </row>
    <row r="565">
      <c r="A565">
        <f>MOD(565-1,101)</f>
        <v>59</v>
      </c>
    </row>
    <row r="566">
      <c r="A566">
        <f>MOD(566-1,101)</f>
        <v>60</v>
      </c>
    </row>
    <row r="567">
      <c r="A567">
        <f>MOD(567-1,101)</f>
        <v>61</v>
      </c>
    </row>
    <row r="568">
      <c r="A568">
        <f>MOD(568-1,101)</f>
        <v>62</v>
      </c>
    </row>
    <row r="569">
      <c r="A569">
        <f>MOD(569-1,101)</f>
        <v>63</v>
      </c>
    </row>
    <row r="570">
      <c r="A570">
        <f>MOD(570-1,101)</f>
        <v>64</v>
      </c>
    </row>
    <row r="571">
      <c r="A571">
        <f>MOD(571-1,101)</f>
        <v>65</v>
      </c>
    </row>
    <row r="572">
      <c r="A572">
        <f>MOD(572-1,101)</f>
        <v>66</v>
      </c>
    </row>
    <row r="573">
      <c r="A573">
        <f>MOD(573-1,101)</f>
        <v>67</v>
      </c>
    </row>
    <row r="574">
      <c r="A574">
        <f>MOD(574-1,101)</f>
        <v>68</v>
      </c>
    </row>
    <row r="575">
      <c r="A575">
        <f>MOD(575-1,101)</f>
        <v>69</v>
      </c>
    </row>
    <row r="576">
      <c r="A576">
        <f>MOD(576-1,101)</f>
        <v>70</v>
      </c>
    </row>
    <row r="577">
      <c r="A577">
        <f>MOD(577-1,101)</f>
        <v>71</v>
      </c>
    </row>
    <row r="578">
      <c r="A578">
        <f>MOD(578-1,101)</f>
        <v>72</v>
      </c>
    </row>
    <row r="579">
      <c r="A579">
        <f>MOD(579-1,101)</f>
        <v>73</v>
      </c>
    </row>
    <row r="580">
      <c r="A580">
        <f>MOD(580-1,101)</f>
        <v>74</v>
      </c>
    </row>
    <row r="581">
      <c r="A581">
        <f>MOD(581-1,101)</f>
        <v>75</v>
      </c>
    </row>
    <row r="582">
      <c r="A582">
        <f>MOD(582-1,101)</f>
        <v>76</v>
      </c>
    </row>
    <row r="583">
      <c r="A583">
        <f>MOD(583-1,101)</f>
        <v>77</v>
      </c>
    </row>
    <row r="584">
      <c r="A584">
        <f>MOD(584-1,101)</f>
        <v>78</v>
      </c>
    </row>
    <row r="585">
      <c r="A585">
        <f>MOD(585-1,101)</f>
        <v>79</v>
      </c>
    </row>
    <row r="586">
      <c r="A586">
        <f>MOD(586-1,101)</f>
        <v>80</v>
      </c>
    </row>
    <row r="587">
      <c r="A587">
        <f>MOD(587-1,101)</f>
        <v>81</v>
      </c>
    </row>
    <row r="588">
      <c r="A588">
        <f>MOD(588-1,101)</f>
        <v>82</v>
      </c>
    </row>
    <row r="589">
      <c r="A589">
        <f>MOD(589-1,101)</f>
        <v>83</v>
      </c>
    </row>
    <row r="590">
      <c r="A590">
        <f>MOD(590-1,101)</f>
        <v>84</v>
      </c>
    </row>
    <row r="591">
      <c r="A591">
        <f>MOD(591-1,101)</f>
        <v>85</v>
      </c>
    </row>
    <row r="592">
      <c r="A592">
        <f>MOD(592-1,101)</f>
        <v>86</v>
      </c>
    </row>
    <row r="593">
      <c r="A593">
        <f>MOD(593-1,101)</f>
        <v>87</v>
      </c>
    </row>
    <row r="594">
      <c r="A594">
        <f>MOD(594-1,101)</f>
        <v>88</v>
      </c>
    </row>
    <row r="595">
      <c r="A595">
        <f>MOD(595-1,101)</f>
        <v>89</v>
      </c>
    </row>
    <row r="596">
      <c r="A596">
        <f>MOD(596-1,101)</f>
        <v>90</v>
      </c>
    </row>
    <row r="597">
      <c r="A597">
        <f>MOD(597-1,101)</f>
        <v>91</v>
      </c>
    </row>
    <row r="598">
      <c r="A598">
        <f>MOD(598-1,101)</f>
        <v>92</v>
      </c>
    </row>
    <row r="599">
      <c r="A599">
        <f>MOD(599-1,101)</f>
        <v>93</v>
      </c>
    </row>
    <row r="600">
      <c r="A600">
        <f>MOD(600-1,101)</f>
        <v>94</v>
      </c>
    </row>
    <row r="601">
      <c r="A601">
        <f>MOD(601-1,101)</f>
        <v>95</v>
      </c>
    </row>
    <row r="602">
      <c r="A602">
        <f>MOD(602-1,101)</f>
        <v>96</v>
      </c>
    </row>
    <row r="603">
      <c r="A603">
        <f>MOD(603-1,101)</f>
        <v>97</v>
      </c>
    </row>
    <row r="604">
      <c r="A604">
        <f>MOD(604-1,101)</f>
        <v>98</v>
      </c>
    </row>
    <row r="605">
      <c r="A605">
        <f>MOD(605-1,101)</f>
        <v>99</v>
      </c>
    </row>
    <row r="606">
      <c r="A606">
        <f>MOD(606-1,101)</f>
        <v>100</v>
      </c>
    </row>
    <row r="607">
      <c r="A607">
        <f>MOD(607-1,101)</f>
        <v>0</v>
      </c>
    </row>
    <row r="608">
      <c r="A608">
        <f>MOD(608-1,101)</f>
        <v>1</v>
      </c>
    </row>
    <row r="609">
      <c r="A609">
        <f>MOD(609-1,101)</f>
        <v>2</v>
      </c>
    </row>
    <row r="610">
      <c r="A610">
        <f>MOD(610-1,101)</f>
        <v>3</v>
      </c>
    </row>
    <row r="611">
      <c r="A611">
        <f>MOD(611-1,101)</f>
        <v>4</v>
      </c>
    </row>
    <row r="612">
      <c r="A612">
        <f>MOD(612-1,101)</f>
        <v>5</v>
      </c>
    </row>
    <row r="613">
      <c r="A613">
        <f>MOD(613-1,101)</f>
        <v>6</v>
      </c>
    </row>
    <row r="614">
      <c r="A614">
        <f>MOD(614-1,101)</f>
        <v>7</v>
      </c>
    </row>
    <row r="615">
      <c r="A615">
        <f>MOD(615-1,101)</f>
        <v>8</v>
      </c>
    </row>
    <row r="616">
      <c r="A616">
        <f>MOD(616-1,101)</f>
        <v>9</v>
      </c>
    </row>
    <row r="617">
      <c r="A617">
        <f>MOD(617-1,101)</f>
        <v>10</v>
      </c>
    </row>
    <row r="618">
      <c r="A618">
        <f>MOD(618-1,101)</f>
        <v>11</v>
      </c>
    </row>
    <row r="619">
      <c r="A619">
        <f>MOD(619-1,101)</f>
        <v>12</v>
      </c>
    </row>
    <row r="620">
      <c r="A620">
        <f>MOD(620-1,101)</f>
        <v>13</v>
      </c>
    </row>
    <row r="621">
      <c r="A621">
        <f>MOD(621-1,101)</f>
        <v>14</v>
      </c>
    </row>
    <row r="622">
      <c r="A622">
        <f>MOD(622-1,101)</f>
        <v>15</v>
      </c>
    </row>
    <row r="623">
      <c r="A623">
        <f>MOD(623-1,101)</f>
        <v>16</v>
      </c>
    </row>
    <row r="624">
      <c r="A624">
        <f>MOD(624-1,101)</f>
        <v>17</v>
      </c>
    </row>
    <row r="625">
      <c r="A625">
        <f>MOD(625-1,101)</f>
        <v>18</v>
      </c>
    </row>
    <row r="626">
      <c r="A626">
        <f>MOD(626-1,101)</f>
        <v>19</v>
      </c>
    </row>
    <row r="627">
      <c r="A627">
        <f>MOD(627-1,101)</f>
        <v>20</v>
      </c>
    </row>
    <row r="628">
      <c r="A628">
        <f>MOD(628-1,101)</f>
        <v>21</v>
      </c>
    </row>
    <row r="629">
      <c r="A629">
        <f>MOD(629-1,101)</f>
        <v>22</v>
      </c>
    </row>
    <row r="630">
      <c r="A630">
        <f>MOD(630-1,101)</f>
        <v>23</v>
      </c>
    </row>
    <row r="631">
      <c r="A631">
        <f>MOD(631-1,101)</f>
        <v>24</v>
      </c>
    </row>
    <row r="632">
      <c r="A632">
        <f>MOD(632-1,101)</f>
        <v>25</v>
      </c>
    </row>
    <row r="633">
      <c r="A633">
        <f>MOD(633-1,101)</f>
        <v>26</v>
      </c>
    </row>
    <row r="634">
      <c r="A634">
        <f>MOD(634-1,101)</f>
        <v>27</v>
      </c>
    </row>
    <row r="635">
      <c r="A635">
        <f>MOD(635-1,101)</f>
        <v>28</v>
      </c>
    </row>
    <row r="636">
      <c r="A636">
        <f>MOD(636-1,101)</f>
        <v>29</v>
      </c>
    </row>
    <row r="637">
      <c r="A637">
        <f>MOD(637-1,101)</f>
        <v>30</v>
      </c>
    </row>
    <row r="638">
      <c r="A638">
        <f>MOD(638-1,101)</f>
        <v>31</v>
      </c>
    </row>
    <row r="639">
      <c r="A639">
        <f>MOD(639-1,101)</f>
        <v>32</v>
      </c>
    </row>
    <row r="640">
      <c r="A640">
        <f>MOD(640-1,101)</f>
        <v>33</v>
      </c>
    </row>
    <row r="641">
      <c r="A641">
        <f>MOD(641-1,101)</f>
        <v>34</v>
      </c>
    </row>
    <row r="642">
      <c r="A642">
        <f>MOD(642-1,101)</f>
        <v>35</v>
      </c>
    </row>
    <row r="643">
      <c r="A643">
        <f>MOD(643-1,101)</f>
        <v>36</v>
      </c>
    </row>
    <row r="644">
      <c r="A644">
        <f>MOD(644-1,101)</f>
        <v>37</v>
      </c>
    </row>
    <row r="645">
      <c r="A645">
        <f>MOD(645-1,101)</f>
        <v>38</v>
      </c>
    </row>
    <row r="646">
      <c r="A646">
        <f>MOD(646-1,101)</f>
        <v>39</v>
      </c>
    </row>
    <row r="647">
      <c r="A647">
        <f>MOD(647-1,101)</f>
        <v>40</v>
      </c>
    </row>
    <row r="648">
      <c r="A648">
        <f>MOD(648-1,101)</f>
        <v>41</v>
      </c>
    </row>
    <row r="649">
      <c r="A649">
        <f>MOD(649-1,101)</f>
        <v>42</v>
      </c>
    </row>
    <row r="650">
      <c r="A650">
        <f>MOD(650-1,101)</f>
        <v>43</v>
      </c>
    </row>
    <row r="651">
      <c r="A651">
        <f>MOD(651-1,101)</f>
        <v>44</v>
      </c>
    </row>
    <row r="652">
      <c r="A652">
        <f>MOD(652-1,101)</f>
        <v>45</v>
      </c>
    </row>
    <row r="653">
      <c r="A653">
        <f>MOD(653-1,101)</f>
        <v>46</v>
      </c>
    </row>
    <row r="654">
      <c r="A654">
        <f>MOD(654-1,101)</f>
        <v>47</v>
      </c>
    </row>
    <row r="655">
      <c r="A655">
        <f>MOD(655-1,101)</f>
        <v>48</v>
      </c>
    </row>
    <row r="656">
      <c r="A656">
        <f>MOD(656-1,101)</f>
        <v>49</v>
      </c>
    </row>
    <row r="657">
      <c r="A657">
        <f>MOD(657-1,101)</f>
        <v>50</v>
      </c>
    </row>
    <row r="658">
      <c r="A658">
        <f>MOD(658-1,101)</f>
        <v>51</v>
      </c>
    </row>
    <row r="659">
      <c r="A659">
        <f>MOD(659-1,101)</f>
        <v>52</v>
      </c>
    </row>
    <row r="660">
      <c r="A660">
        <f>MOD(660-1,101)</f>
        <v>53</v>
      </c>
    </row>
    <row r="661">
      <c r="A661">
        <f>MOD(661-1,101)</f>
        <v>54</v>
      </c>
    </row>
    <row r="662">
      <c r="A662">
        <f>MOD(662-1,101)</f>
        <v>55</v>
      </c>
    </row>
    <row r="663">
      <c r="A663">
        <f>MOD(663-1,101)</f>
        <v>56</v>
      </c>
    </row>
    <row r="664">
      <c r="A664">
        <f>MOD(664-1,101)</f>
        <v>57</v>
      </c>
    </row>
    <row r="665">
      <c r="A665">
        <f>MOD(665-1,101)</f>
        <v>58</v>
      </c>
    </row>
    <row r="666">
      <c r="A666">
        <f>MOD(666-1,101)</f>
        <v>59</v>
      </c>
    </row>
    <row r="667">
      <c r="A667">
        <f>MOD(667-1,101)</f>
        <v>60</v>
      </c>
    </row>
    <row r="668">
      <c r="A668">
        <f>MOD(668-1,101)</f>
        <v>61</v>
      </c>
    </row>
    <row r="669">
      <c r="A669">
        <f>MOD(669-1,101)</f>
        <v>62</v>
      </c>
    </row>
    <row r="670">
      <c r="A670">
        <f>MOD(670-1,101)</f>
        <v>63</v>
      </c>
    </row>
    <row r="671">
      <c r="A671">
        <f>MOD(671-1,101)</f>
        <v>64</v>
      </c>
    </row>
    <row r="672">
      <c r="A672">
        <f>MOD(672-1,101)</f>
        <v>65</v>
      </c>
    </row>
    <row r="673">
      <c r="A673">
        <f>MOD(673-1,101)</f>
        <v>66</v>
      </c>
    </row>
    <row r="674">
      <c r="A674">
        <f>MOD(674-1,101)</f>
        <v>67</v>
      </c>
    </row>
    <row r="675">
      <c r="A675">
        <f>MOD(675-1,101)</f>
        <v>68</v>
      </c>
    </row>
    <row r="676">
      <c r="A676">
        <f>MOD(676-1,101)</f>
        <v>69</v>
      </c>
    </row>
    <row r="677">
      <c r="A677">
        <f>MOD(677-1,101)</f>
        <v>70</v>
      </c>
    </row>
    <row r="678">
      <c r="A678">
        <f>MOD(678-1,101)</f>
        <v>71</v>
      </c>
    </row>
    <row r="679">
      <c r="A679">
        <f>MOD(679-1,101)</f>
        <v>72</v>
      </c>
    </row>
    <row r="680">
      <c r="A680">
        <f>MOD(680-1,101)</f>
        <v>73</v>
      </c>
    </row>
    <row r="681">
      <c r="A681">
        <f>MOD(681-1,101)</f>
        <v>74</v>
      </c>
    </row>
    <row r="682">
      <c r="A682">
        <f>MOD(682-1,101)</f>
        <v>75</v>
      </c>
    </row>
    <row r="683">
      <c r="A683">
        <f>MOD(683-1,101)</f>
        <v>76</v>
      </c>
    </row>
    <row r="684">
      <c r="A684">
        <f>MOD(684-1,101)</f>
        <v>77</v>
      </c>
    </row>
    <row r="685">
      <c r="A685">
        <f>MOD(685-1,101)</f>
        <v>78</v>
      </c>
    </row>
    <row r="686">
      <c r="A686">
        <f>MOD(686-1,101)</f>
        <v>79</v>
      </c>
    </row>
    <row r="687">
      <c r="A687">
        <f>MOD(687-1,101)</f>
        <v>80</v>
      </c>
    </row>
    <row r="688">
      <c r="A688">
        <f>MOD(688-1,101)</f>
        <v>81</v>
      </c>
    </row>
    <row r="689">
      <c r="A689">
        <f>MOD(689-1,101)</f>
        <v>82</v>
      </c>
    </row>
    <row r="690">
      <c r="A690">
        <f>MOD(690-1,101)</f>
        <v>83</v>
      </c>
    </row>
    <row r="691">
      <c r="A691">
        <f>MOD(691-1,101)</f>
        <v>84</v>
      </c>
    </row>
    <row r="692">
      <c r="A692">
        <f>MOD(692-1,101)</f>
        <v>85</v>
      </c>
    </row>
    <row r="693">
      <c r="A693">
        <f>MOD(693-1,101)</f>
        <v>86</v>
      </c>
    </row>
    <row r="694">
      <c r="A694">
        <f>MOD(694-1,101)</f>
        <v>87</v>
      </c>
    </row>
    <row r="695">
      <c r="A695">
        <f>MOD(695-1,101)</f>
        <v>88</v>
      </c>
    </row>
    <row r="696">
      <c r="A696">
        <f>MOD(696-1,101)</f>
        <v>89</v>
      </c>
    </row>
    <row r="697">
      <c r="A697">
        <f>MOD(697-1,101)</f>
        <v>90</v>
      </c>
    </row>
    <row r="698">
      <c r="A698">
        <f>MOD(698-1,101)</f>
        <v>91</v>
      </c>
    </row>
    <row r="699">
      <c r="A699">
        <f>MOD(699-1,101)</f>
        <v>92</v>
      </c>
    </row>
    <row r="700">
      <c r="A700">
        <f>MOD(700-1,101)</f>
        <v>93</v>
      </c>
    </row>
    <row r="701">
      <c r="A701">
        <f>MOD(701-1,101)</f>
        <v>94</v>
      </c>
    </row>
    <row r="702">
      <c r="A702">
        <f>MOD(702-1,101)</f>
        <v>95</v>
      </c>
    </row>
    <row r="703">
      <c r="A703">
        <f>MOD(703-1,101)</f>
        <v>96</v>
      </c>
    </row>
    <row r="704">
      <c r="A704">
        <f>MOD(704-1,101)</f>
        <v>97</v>
      </c>
    </row>
    <row r="705">
      <c r="A705">
        <f>MOD(705-1,101)</f>
        <v>98</v>
      </c>
    </row>
    <row r="706">
      <c r="A706">
        <f>MOD(706-1,101)</f>
        <v>99</v>
      </c>
    </row>
    <row r="707">
      <c r="A707">
        <f>MOD(707-1,101)</f>
        <v>100</v>
      </c>
    </row>
    <row r="708">
      <c r="A708">
        <f>MOD(708-1,101)</f>
        <v>0</v>
      </c>
    </row>
    <row r="709">
      <c r="A709">
        <f>MOD(709-1,101)</f>
        <v>1</v>
      </c>
    </row>
    <row r="710">
      <c r="A710">
        <f>MOD(710-1,101)</f>
        <v>2</v>
      </c>
    </row>
    <row r="711">
      <c r="A711">
        <f>MOD(711-1,101)</f>
        <v>3</v>
      </c>
    </row>
    <row r="712">
      <c r="A712">
        <f>MOD(712-1,101)</f>
        <v>4</v>
      </c>
    </row>
    <row r="713">
      <c r="A713">
        <f>MOD(713-1,101)</f>
        <v>5</v>
      </c>
    </row>
    <row r="714">
      <c r="A714">
        <f>MOD(714-1,101)</f>
        <v>6</v>
      </c>
    </row>
    <row r="715">
      <c r="A715">
        <f>MOD(715-1,101)</f>
        <v>7</v>
      </c>
    </row>
    <row r="716">
      <c r="A716">
        <f>MOD(716-1,101)</f>
        <v>8</v>
      </c>
    </row>
    <row r="717">
      <c r="A717">
        <f>MOD(717-1,101)</f>
        <v>9</v>
      </c>
    </row>
    <row r="718">
      <c r="A718">
        <f>MOD(718-1,101)</f>
        <v>10</v>
      </c>
    </row>
    <row r="719">
      <c r="A719">
        <f>MOD(719-1,101)</f>
        <v>11</v>
      </c>
    </row>
    <row r="720">
      <c r="A720">
        <f>MOD(720-1,101)</f>
        <v>12</v>
      </c>
    </row>
    <row r="721">
      <c r="A721">
        <f>MOD(721-1,101)</f>
        <v>13</v>
      </c>
    </row>
    <row r="722">
      <c r="A722">
        <f>MOD(722-1,101)</f>
        <v>14</v>
      </c>
    </row>
    <row r="723">
      <c r="A723">
        <f>MOD(723-1,101)</f>
        <v>15</v>
      </c>
    </row>
    <row r="724">
      <c r="A724">
        <f>MOD(724-1,101)</f>
        <v>16</v>
      </c>
    </row>
    <row r="725">
      <c r="A725">
        <f>MOD(725-1,101)</f>
        <v>17</v>
      </c>
    </row>
    <row r="726">
      <c r="A726">
        <f>MOD(726-1,101)</f>
        <v>18</v>
      </c>
    </row>
    <row r="727">
      <c r="A727">
        <f>MOD(727-1,101)</f>
        <v>19</v>
      </c>
    </row>
    <row r="728">
      <c r="A728">
        <f>MOD(728-1,101)</f>
        <v>20</v>
      </c>
    </row>
    <row r="729">
      <c r="A729">
        <f>MOD(729-1,101)</f>
        <v>21</v>
      </c>
    </row>
    <row r="730">
      <c r="A730">
        <f>MOD(730-1,101)</f>
        <v>22</v>
      </c>
    </row>
    <row r="731">
      <c r="A731">
        <f>MOD(731-1,101)</f>
        <v>23</v>
      </c>
    </row>
    <row r="732">
      <c r="A732">
        <f>MOD(732-1,101)</f>
        <v>24</v>
      </c>
    </row>
    <row r="733">
      <c r="A733">
        <f>MOD(733-1,101)</f>
        <v>25</v>
      </c>
    </row>
    <row r="734">
      <c r="A734">
        <f>MOD(734-1,101)</f>
        <v>26</v>
      </c>
    </row>
    <row r="735">
      <c r="A735">
        <f>MOD(735-1,101)</f>
        <v>27</v>
      </c>
    </row>
    <row r="736">
      <c r="A736">
        <f>MOD(736-1,101)</f>
        <v>28</v>
      </c>
    </row>
    <row r="737">
      <c r="A737">
        <f>MOD(737-1,101)</f>
        <v>29</v>
      </c>
    </row>
    <row r="738">
      <c r="A738">
        <f>MOD(738-1,101)</f>
        <v>30</v>
      </c>
    </row>
    <row r="739">
      <c r="A739">
        <f>MOD(739-1,101)</f>
        <v>31</v>
      </c>
    </row>
    <row r="740">
      <c r="A740">
        <f>MOD(740-1,101)</f>
        <v>32</v>
      </c>
    </row>
    <row r="741">
      <c r="A741">
        <f>MOD(741-1,101)</f>
        <v>33</v>
      </c>
    </row>
    <row r="742">
      <c r="A742">
        <f>MOD(742-1,101)</f>
        <v>34</v>
      </c>
    </row>
    <row r="743">
      <c r="A743">
        <f>MOD(743-1,101)</f>
        <v>35</v>
      </c>
    </row>
    <row r="744">
      <c r="A744">
        <f>MOD(744-1,101)</f>
        <v>36</v>
      </c>
    </row>
    <row r="745">
      <c r="A745">
        <f>MOD(745-1,101)</f>
        <v>37</v>
      </c>
    </row>
    <row r="746">
      <c r="A746">
        <f>MOD(746-1,101)</f>
        <v>38</v>
      </c>
    </row>
    <row r="747">
      <c r="A747">
        <f>MOD(747-1,101)</f>
        <v>39</v>
      </c>
    </row>
    <row r="748">
      <c r="A748">
        <f>MOD(748-1,101)</f>
        <v>40</v>
      </c>
    </row>
    <row r="749">
      <c r="A749">
        <f>MOD(749-1,101)</f>
        <v>41</v>
      </c>
    </row>
    <row r="750">
      <c r="A750">
        <f>MOD(750-1,101)</f>
        <v>42</v>
      </c>
    </row>
    <row r="751">
      <c r="A751">
        <f>MOD(751-1,101)</f>
        <v>43</v>
      </c>
    </row>
    <row r="752">
      <c r="A752">
        <f>MOD(752-1,101)</f>
        <v>44</v>
      </c>
    </row>
    <row r="753">
      <c r="A753">
        <f>MOD(753-1,101)</f>
        <v>45</v>
      </c>
    </row>
    <row r="754">
      <c r="A754">
        <f>MOD(754-1,101)</f>
        <v>46</v>
      </c>
    </row>
    <row r="755">
      <c r="A755">
        <f>MOD(755-1,101)</f>
        <v>47</v>
      </c>
    </row>
    <row r="756">
      <c r="A756">
        <f>MOD(756-1,101)</f>
        <v>48</v>
      </c>
    </row>
    <row r="757">
      <c r="A757">
        <f>MOD(757-1,101)</f>
        <v>49</v>
      </c>
    </row>
    <row r="758">
      <c r="A758">
        <f>MOD(758-1,101)</f>
        <v>50</v>
      </c>
    </row>
    <row r="759">
      <c r="A759">
        <f>MOD(759-1,101)</f>
        <v>51</v>
      </c>
    </row>
    <row r="760">
      <c r="A760">
        <f>MOD(760-1,101)</f>
        <v>52</v>
      </c>
    </row>
    <row r="761">
      <c r="A761">
        <f>MOD(761-1,101)</f>
        <v>53</v>
      </c>
    </row>
    <row r="762">
      <c r="A762">
        <f>MOD(762-1,101)</f>
        <v>54</v>
      </c>
    </row>
    <row r="763">
      <c r="A763">
        <f>MOD(763-1,101)</f>
        <v>55</v>
      </c>
    </row>
    <row r="764">
      <c r="A764">
        <f>MOD(764-1,101)</f>
        <v>56</v>
      </c>
    </row>
    <row r="765">
      <c r="A765">
        <f>MOD(765-1,101)</f>
        <v>57</v>
      </c>
    </row>
    <row r="766">
      <c r="A766">
        <f>MOD(766-1,101)</f>
        <v>58</v>
      </c>
    </row>
    <row r="767">
      <c r="A767">
        <f>MOD(767-1,101)</f>
        <v>59</v>
      </c>
    </row>
    <row r="768">
      <c r="A768">
        <f>MOD(768-1,101)</f>
        <v>60</v>
      </c>
    </row>
    <row r="769">
      <c r="A769">
        <f>MOD(769-1,101)</f>
        <v>61</v>
      </c>
    </row>
    <row r="770">
      <c r="A770">
        <f>MOD(770-1,101)</f>
        <v>62</v>
      </c>
    </row>
    <row r="771">
      <c r="A771">
        <f>MOD(771-1,101)</f>
        <v>63</v>
      </c>
    </row>
    <row r="772">
      <c r="A772">
        <f>MOD(772-1,101)</f>
        <v>64</v>
      </c>
    </row>
    <row r="773">
      <c r="A773">
        <f>MOD(773-1,101)</f>
        <v>65</v>
      </c>
    </row>
    <row r="774">
      <c r="A774">
        <f>MOD(774-1,101)</f>
        <v>66</v>
      </c>
    </row>
    <row r="775">
      <c r="A775">
        <f>MOD(775-1,101)</f>
        <v>67</v>
      </c>
    </row>
    <row r="776">
      <c r="A776">
        <f>MOD(776-1,101)</f>
        <v>68</v>
      </c>
    </row>
    <row r="777">
      <c r="A777">
        <f>MOD(777-1,101)</f>
        <v>69</v>
      </c>
    </row>
    <row r="778">
      <c r="A778">
        <f>MOD(778-1,101)</f>
        <v>70</v>
      </c>
    </row>
    <row r="779">
      <c r="A779">
        <f>MOD(779-1,101)</f>
        <v>71</v>
      </c>
    </row>
    <row r="780">
      <c r="A780">
        <f>MOD(780-1,101)</f>
        <v>72</v>
      </c>
    </row>
    <row r="781">
      <c r="A781">
        <f>MOD(781-1,101)</f>
        <v>73</v>
      </c>
    </row>
    <row r="782">
      <c r="A782">
        <f>MOD(782-1,101)</f>
        <v>74</v>
      </c>
    </row>
    <row r="783">
      <c r="A783">
        <f>MOD(783-1,101)</f>
        <v>75</v>
      </c>
    </row>
    <row r="784">
      <c r="A784">
        <f>MOD(784-1,101)</f>
        <v>76</v>
      </c>
    </row>
    <row r="785">
      <c r="A785">
        <f>MOD(785-1,101)</f>
        <v>77</v>
      </c>
    </row>
    <row r="786">
      <c r="A786">
        <f>MOD(786-1,101)</f>
        <v>78</v>
      </c>
    </row>
    <row r="787">
      <c r="A787">
        <f>MOD(787-1,101)</f>
        <v>79</v>
      </c>
    </row>
    <row r="788">
      <c r="A788">
        <f>MOD(788-1,101)</f>
        <v>80</v>
      </c>
    </row>
    <row r="789">
      <c r="A789">
        <f>MOD(789-1,101)</f>
        <v>81</v>
      </c>
    </row>
    <row r="790">
      <c r="A790">
        <f>MOD(790-1,101)</f>
        <v>82</v>
      </c>
    </row>
    <row r="791">
      <c r="A791">
        <f>MOD(791-1,101)</f>
        <v>83</v>
      </c>
    </row>
    <row r="792">
      <c r="A792">
        <f>MOD(792-1,101)</f>
        <v>84</v>
      </c>
    </row>
    <row r="793">
      <c r="A793">
        <f>MOD(793-1,101)</f>
        <v>85</v>
      </c>
    </row>
    <row r="794">
      <c r="A794">
        <f>MOD(794-1,101)</f>
        <v>86</v>
      </c>
    </row>
    <row r="795">
      <c r="A795">
        <f>MOD(795-1,101)</f>
        <v>87</v>
      </c>
    </row>
    <row r="796">
      <c r="A796">
        <f>MOD(796-1,101)</f>
        <v>88</v>
      </c>
    </row>
    <row r="797">
      <c r="A797">
        <f>MOD(797-1,101)</f>
        <v>89</v>
      </c>
    </row>
    <row r="798">
      <c r="A798">
        <f>MOD(798-1,101)</f>
        <v>90</v>
      </c>
    </row>
    <row r="799">
      <c r="A799">
        <f>MOD(799-1,101)</f>
        <v>91</v>
      </c>
    </row>
    <row r="800">
      <c r="A800">
        <f>MOD(800-1,101)</f>
        <v>92</v>
      </c>
    </row>
    <row r="801">
      <c r="A801">
        <f>MOD(801-1,101)</f>
        <v>93</v>
      </c>
    </row>
    <row r="802">
      <c r="A802">
        <f>MOD(802-1,101)</f>
        <v>94</v>
      </c>
    </row>
    <row r="803">
      <c r="A803">
        <f>MOD(803-1,101)</f>
        <v>95</v>
      </c>
    </row>
    <row r="804">
      <c r="A804">
        <f>MOD(804-1,101)</f>
        <v>96</v>
      </c>
    </row>
    <row r="805">
      <c r="A805">
        <f>MOD(805-1,101)</f>
        <v>97</v>
      </c>
    </row>
    <row r="806">
      <c r="A806">
        <f>MOD(806-1,101)</f>
        <v>98</v>
      </c>
    </row>
    <row r="807">
      <c r="A807">
        <f>MOD(807-1,101)</f>
        <v>99</v>
      </c>
    </row>
    <row r="808">
      <c r="A808">
        <f>MOD(808-1,101)</f>
        <v>100</v>
      </c>
    </row>
    <row r="809">
      <c r="A809">
        <f>MOD(809-1,101)</f>
        <v>0</v>
      </c>
    </row>
    <row r="810">
      <c r="A810">
        <f>MOD(810-1,101)</f>
        <v>1</v>
      </c>
    </row>
    <row r="811">
      <c r="A811">
        <f>MOD(811-1,101)</f>
        <v>2</v>
      </c>
    </row>
    <row r="812">
      <c r="A812">
        <f>MOD(812-1,101)</f>
        <v>3</v>
      </c>
    </row>
    <row r="813">
      <c r="A813">
        <f>MOD(813-1,101)</f>
        <v>4</v>
      </c>
    </row>
    <row r="814">
      <c r="A814">
        <f>MOD(814-1,101)</f>
        <v>5</v>
      </c>
    </row>
    <row r="815">
      <c r="A815">
        <f>MOD(815-1,101)</f>
        <v>6</v>
      </c>
    </row>
    <row r="816">
      <c r="A816">
        <f>MOD(816-1,101)</f>
        <v>7</v>
      </c>
    </row>
    <row r="817">
      <c r="A817">
        <f>MOD(817-1,101)</f>
        <v>8</v>
      </c>
    </row>
    <row r="818">
      <c r="A818">
        <f>MOD(818-1,101)</f>
        <v>9</v>
      </c>
    </row>
    <row r="819">
      <c r="A819">
        <f>MOD(819-1,101)</f>
        <v>10</v>
      </c>
    </row>
    <row r="820">
      <c r="A820">
        <f>MOD(820-1,101)</f>
        <v>11</v>
      </c>
    </row>
    <row r="821">
      <c r="A821">
        <f>MOD(821-1,101)</f>
        <v>12</v>
      </c>
    </row>
    <row r="822">
      <c r="A822">
        <f>MOD(822-1,101)</f>
        <v>13</v>
      </c>
    </row>
    <row r="823">
      <c r="A823">
        <f>MOD(823-1,101)</f>
        <v>14</v>
      </c>
    </row>
    <row r="824">
      <c r="A824">
        <f>MOD(824-1,101)</f>
        <v>15</v>
      </c>
    </row>
    <row r="825">
      <c r="A825">
        <f>MOD(825-1,101)</f>
        <v>16</v>
      </c>
    </row>
    <row r="826">
      <c r="A826">
        <f>MOD(826-1,101)</f>
        <v>17</v>
      </c>
    </row>
    <row r="827">
      <c r="A827">
        <f>MOD(827-1,101)</f>
        <v>18</v>
      </c>
    </row>
    <row r="828">
      <c r="A828">
        <f>MOD(828-1,101)</f>
        <v>19</v>
      </c>
    </row>
    <row r="829">
      <c r="A829">
        <f>MOD(829-1,101)</f>
        <v>20</v>
      </c>
    </row>
    <row r="830">
      <c r="A830">
        <f>MOD(830-1,101)</f>
        <v>21</v>
      </c>
    </row>
    <row r="831">
      <c r="A831">
        <f>MOD(831-1,101)</f>
        <v>22</v>
      </c>
    </row>
    <row r="832">
      <c r="A832">
        <f>MOD(832-1,101)</f>
        <v>23</v>
      </c>
    </row>
    <row r="833">
      <c r="A833">
        <f>MOD(833-1,101)</f>
        <v>24</v>
      </c>
    </row>
    <row r="834">
      <c r="A834">
        <f>MOD(834-1,101)</f>
        <v>25</v>
      </c>
    </row>
    <row r="835">
      <c r="A835">
        <f>MOD(835-1,101)</f>
        <v>26</v>
      </c>
    </row>
    <row r="836">
      <c r="A836">
        <f>MOD(836-1,101)</f>
        <v>27</v>
      </c>
    </row>
    <row r="837">
      <c r="A837">
        <f>MOD(837-1,101)</f>
        <v>28</v>
      </c>
    </row>
    <row r="838">
      <c r="A838">
        <f>MOD(838-1,101)</f>
        <v>29</v>
      </c>
    </row>
    <row r="839">
      <c r="A839">
        <f>MOD(839-1,101)</f>
        <v>30</v>
      </c>
    </row>
    <row r="840">
      <c r="A840">
        <f>MOD(840-1,101)</f>
        <v>31</v>
      </c>
    </row>
    <row r="841">
      <c r="A841">
        <f>MOD(841-1,101)</f>
        <v>32</v>
      </c>
    </row>
    <row r="842">
      <c r="A842">
        <f>MOD(842-1,101)</f>
        <v>33</v>
      </c>
    </row>
    <row r="843">
      <c r="A843">
        <f>MOD(843-1,101)</f>
        <v>34</v>
      </c>
    </row>
    <row r="844">
      <c r="A844">
        <f>MOD(844-1,101)</f>
        <v>35</v>
      </c>
    </row>
    <row r="845">
      <c r="A845">
        <f>MOD(845-1,101)</f>
        <v>36</v>
      </c>
    </row>
    <row r="846">
      <c r="A846">
        <f>MOD(846-1,101)</f>
        <v>37</v>
      </c>
    </row>
    <row r="847">
      <c r="A847">
        <f>MOD(847-1,101)</f>
        <v>38</v>
      </c>
    </row>
    <row r="848">
      <c r="A848">
        <f>MOD(848-1,101)</f>
        <v>39</v>
      </c>
    </row>
    <row r="849">
      <c r="A849">
        <f>MOD(849-1,101)</f>
        <v>40</v>
      </c>
    </row>
    <row r="850">
      <c r="A850">
        <f>MOD(850-1,101)</f>
        <v>41</v>
      </c>
    </row>
    <row r="851">
      <c r="A851">
        <f>MOD(851-1,101)</f>
        <v>42</v>
      </c>
    </row>
    <row r="852">
      <c r="A852">
        <f>MOD(852-1,101)</f>
        <v>43</v>
      </c>
    </row>
    <row r="853">
      <c r="A853">
        <f>MOD(853-1,101)</f>
        <v>44</v>
      </c>
    </row>
    <row r="854">
      <c r="A854">
        <f>MOD(854-1,101)</f>
        <v>45</v>
      </c>
    </row>
    <row r="855">
      <c r="A855">
        <f>MOD(855-1,101)</f>
        <v>46</v>
      </c>
    </row>
    <row r="856">
      <c r="A856">
        <f>MOD(856-1,101)</f>
        <v>47</v>
      </c>
    </row>
    <row r="857">
      <c r="A857">
        <f>MOD(857-1,101)</f>
        <v>48</v>
      </c>
    </row>
    <row r="858">
      <c r="A858">
        <f>MOD(858-1,101)</f>
        <v>49</v>
      </c>
    </row>
    <row r="859">
      <c r="A859">
        <f>MOD(859-1,101)</f>
        <v>50</v>
      </c>
    </row>
    <row r="860">
      <c r="A860">
        <f>MOD(860-1,101)</f>
        <v>51</v>
      </c>
    </row>
    <row r="861">
      <c r="A861">
        <f>MOD(861-1,101)</f>
        <v>52</v>
      </c>
    </row>
    <row r="862">
      <c r="A862">
        <f>MOD(862-1,101)</f>
        <v>53</v>
      </c>
    </row>
    <row r="863">
      <c r="A863">
        <f>MOD(863-1,101)</f>
        <v>54</v>
      </c>
    </row>
    <row r="864">
      <c r="A864">
        <f>MOD(864-1,101)</f>
        <v>55</v>
      </c>
    </row>
    <row r="865">
      <c r="A865">
        <f>MOD(865-1,101)</f>
        <v>56</v>
      </c>
    </row>
    <row r="866">
      <c r="A866">
        <f>MOD(866-1,101)</f>
        <v>57</v>
      </c>
    </row>
    <row r="867">
      <c r="A867">
        <f>MOD(867-1,101)</f>
        <v>58</v>
      </c>
    </row>
    <row r="868">
      <c r="A868">
        <f>MOD(868-1,101)</f>
        <v>59</v>
      </c>
    </row>
    <row r="869">
      <c r="A869">
        <f>MOD(869-1,101)</f>
        <v>60</v>
      </c>
    </row>
    <row r="870">
      <c r="A870">
        <f>MOD(870-1,101)</f>
        <v>61</v>
      </c>
    </row>
    <row r="871">
      <c r="A871">
        <f>MOD(871-1,101)</f>
        <v>62</v>
      </c>
    </row>
    <row r="872">
      <c r="A872">
        <f>MOD(872-1,101)</f>
        <v>63</v>
      </c>
    </row>
    <row r="873">
      <c r="A873">
        <f>MOD(873-1,101)</f>
        <v>64</v>
      </c>
    </row>
    <row r="874">
      <c r="A874">
        <f>MOD(874-1,101)</f>
        <v>65</v>
      </c>
    </row>
    <row r="875">
      <c r="A875">
        <f>MOD(875-1,101)</f>
        <v>66</v>
      </c>
    </row>
    <row r="876">
      <c r="A876">
        <f>MOD(876-1,101)</f>
        <v>67</v>
      </c>
    </row>
    <row r="877">
      <c r="A877">
        <f>MOD(877-1,101)</f>
        <v>68</v>
      </c>
    </row>
    <row r="878">
      <c r="A878">
        <f>MOD(878-1,101)</f>
        <v>69</v>
      </c>
    </row>
    <row r="879">
      <c r="A879">
        <f>MOD(879-1,101)</f>
        <v>70</v>
      </c>
    </row>
    <row r="880">
      <c r="A880">
        <f>MOD(880-1,101)</f>
        <v>71</v>
      </c>
    </row>
    <row r="881">
      <c r="A881">
        <f>MOD(881-1,101)</f>
        <v>72</v>
      </c>
    </row>
    <row r="882">
      <c r="A882">
        <f>MOD(882-1,101)</f>
        <v>73</v>
      </c>
    </row>
    <row r="883">
      <c r="A883">
        <f>MOD(883-1,101)</f>
        <v>74</v>
      </c>
    </row>
    <row r="884">
      <c r="A884">
        <f>MOD(884-1,101)</f>
        <v>75</v>
      </c>
    </row>
    <row r="885">
      <c r="A885">
        <f>MOD(885-1,101)</f>
        <v>76</v>
      </c>
    </row>
    <row r="886">
      <c r="A886">
        <f>MOD(886-1,101)</f>
        <v>77</v>
      </c>
    </row>
    <row r="887">
      <c r="A887">
        <f>MOD(887-1,101)</f>
        <v>78</v>
      </c>
    </row>
    <row r="888">
      <c r="A888">
        <f>MOD(888-1,101)</f>
        <v>79</v>
      </c>
    </row>
    <row r="889">
      <c r="A889">
        <f>MOD(889-1,101)</f>
        <v>80</v>
      </c>
    </row>
    <row r="890">
      <c r="A890">
        <f>MOD(890-1,101)</f>
        <v>81</v>
      </c>
    </row>
    <row r="891">
      <c r="A891">
        <f>MOD(891-1,101)</f>
        <v>82</v>
      </c>
    </row>
    <row r="892">
      <c r="A892">
        <f>MOD(892-1,101)</f>
        <v>83</v>
      </c>
    </row>
    <row r="893">
      <c r="A893">
        <f>MOD(893-1,101)</f>
        <v>84</v>
      </c>
    </row>
    <row r="894">
      <c r="A894">
        <f>MOD(894-1,101)</f>
        <v>85</v>
      </c>
    </row>
    <row r="895">
      <c r="A895">
        <f>MOD(895-1,101)</f>
        <v>86</v>
      </c>
    </row>
    <row r="896">
      <c r="A896">
        <f>MOD(896-1,101)</f>
        <v>87</v>
      </c>
    </row>
    <row r="897">
      <c r="A897">
        <f>MOD(897-1,101)</f>
        <v>88</v>
      </c>
    </row>
    <row r="898">
      <c r="A898">
        <f>MOD(898-1,101)</f>
        <v>89</v>
      </c>
    </row>
    <row r="899">
      <c r="A899">
        <f>MOD(899-1,101)</f>
        <v>90</v>
      </c>
    </row>
    <row r="900">
      <c r="A900">
        <f>MOD(900-1,101)</f>
        <v>91</v>
      </c>
    </row>
    <row r="901">
      <c r="A901">
        <f>MOD(901-1,101)</f>
        <v>92</v>
      </c>
    </row>
    <row r="902">
      <c r="A902">
        <f>MOD(902-1,101)</f>
        <v>93</v>
      </c>
    </row>
    <row r="903">
      <c r="A903">
        <f>MOD(903-1,101)</f>
        <v>94</v>
      </c>
    </row>
    <row r="904">
      <c r="A904">
        <f>MOD(904-1,101)</f>
        <v>95</v>
      </c>
    </row>
    <row r="905">
      <c r="A905">
        <f>MOD(905-1,101)</f>
        <v>96</v>
      </c>
    </row>
    <row r="906">
      <c r="A906">
        <f>MOD(906-1,101)</f>
        <v>97</v>
      </c>
    </row>
    <row r="907">
      <c r="A907">
        <f>MOD(907-1,101)</f>
        <v>98</v>
      </c>
    </row>
    <row r="908">
      <c r="A908">
        <f>MOD(908-1,101)</f>
        <v>99</v>
      </c>
    </row>
    <row r="909">
      <c r="A909">
        <f>MOD(909-1,101)</f>
        <v>100</v>
      </c>
    </row>
    <row r="910">
      <c r="A910">
        <f>MOD(910-1,101)</f>
        <v>0</v>
      </c>
    </row>
    <row r="911">
      <c r="A911">
        <f>MOD(911-1,101)</f>
        <v>1</v>
      </c>
    </row>
    <row r="912">
      <c r="A912">
        <f>MOD(912-1,101)</f>
        <v>2</v>
      </c>
    </row>
    <row r="913">
      <c r="A913">
        <f>MOD(913-1,101)</f>
        <v>3</v>
      </c>
    </row>
    <row r="914">
      <c r="A914">
        <f>MOD(914-1,101)</f>
        <v>4</v>
      </c>
    </row>
    <row r="915">
      <c r="A915">
        <f>MOD(915-1,101)</f>
        <v>5</v>
      </c>
    </row>
    <row r="916">
      <c r="A916">
        <f>MOD(916-1,101)</f>
        <v>6</v>
      </c>
    </row>
    <row r="917">
      <c r="A917">
        <f>MOD(917-1,101)</f>
        <v>7</v>
      </c>
    </row>
    <row r="918">
      <c r="A918">
        <f>MOD(918-1,101)</f>
        <v>8</v>
      </c>
    </row>
    <row r="919">
      <c r="A919">
        <f>MOD(919-1,101)</f>
        <v>9</v>
      </c>
    </row>
    <row r="920">
      <c r="A920">
        <f>MOD(920-1,101)</f>
        <v>10</v>
      </c>
    </row>
    <row r="921">
      <c r="A921">
        <f>MOD(921-1,101)</f>
        <v>11</v>
      </c>
    </row>
    <row r="922">
      <c r="A922">
        <f>MOD(922-1,101)</f>
        <v>12</v>
      </c>
    </row>
    <row r="923">
      <c r="A923">
        <f>MOD(923-1,101)</f>
        <v>13</v>
      </c>
    </row>
    <row r="924">
      <c r="A924">
        <f>MOD(924-1,101)</f>
        <v>14</v>
      </c>
    </row>
    <row r="925">
      <c r="A925">
        <f>MOD(925-1,101)</f>
        <v>15</v>
      </c>
    </row>
    <row r="926">
      <c r="A926">
        <f>MOD(926-1,101)</f>
        <v>16</v>
      </c>
    </row>
    <row r="927">
      <c r="A927">
        <f>MOD(927-1,101)</f>
        <v>17</v>
      </c>
    </row>
    <row r="928">
      <c r="A928">
        <f>MOD(928-1,101)</f>
        <v>18</v>
      </c>
    </row>
    <row r="929">
      <c r="A929">
        <f>MOD(929-1,101)</f>
        <v>19</v>
      </c>
    </row>
    <row r="930">
      <c r="A930">
        <f>MOD(930-1,101)</f>
        <v>20</v>
      </c>
    </row>
    <row r="931">
      <c r="A931">
        <f>MOD(931-1,101)</f>
        <v>21</v>
      </c>
    </row>
    <row r="932">
      <c r="A932">
        <f>MOD(932-1,101)</f>
        <v>22</v>
      </c>
    </row>
    <row r="933">
      <c r="A933">
        <f>MOD(933-1,101)</f>
        <v>23</v>
      </c>
    </row>
    <row r="934">
      <c r="A934">
        <f>MOD(934-1,101)</f>
        <v>24</v>
      </c>
    </row>
    <row r="935">
      <c r="A935">
        <f>MOD(935-1,101)</f>
        <v>25</v>
      </c>
    </row>
    <row r="936">
      <c r="A936">
        <f>MOD(936-1,101)</f>
        <v>26</v>
      </c>
    </row>
    <row r="937">
      <c r="A937">
        <f>MOD(937-1,101)</f>
        <v>27</v>
      </c>
    </row>
    <row r="938">
      <c r="A938">
        <f>MOD(938-1,101)</f>
        <v>28</v>
      </c>
    </row>
    <row r="939">
      <c r="A939">
        <f>MOD(939-1,101)</f>
        <v>29</v>
      </c>
    </row>
    <row r="940">
      <c r="A940">
        <f>MOD(940-1,101)</f>
        <v>30</v>
      </c>
    </row>
    <row r="941">
      <c r="A941">
        <f>MOD(941-1,101)</f>
        <v>31</v>
      </c>
    </row>
    <row r="942">
      <c r="A942">
        <f>MOD(942-1,101)</f>
        <v>32</v>
      </c>
    </row>
    <row r="943">
      <c r="A943">
        <f>MOD(943-1,101)</f>
        <v>33</v>
      </c>
    </row>
    <row r="944">
      <c r="A944">
        <f>MOD(944-1,101)</f>
        <v>34</v>
      </c>
    </row>
    <row r="945">
      <c r="A945">
        <f>MOD(945-1,101)</f>
        <v>35</v>
      </c>
    </row>
    <row r="946">
      <c r="A946">
        <f>MOD(946-1,101)</f>
        <v>36</v>
      </c>
    </row>
    <row r="947">
      <c r="A947">
        <f>MOD(947-1,101)</f>
        <v>37</v>
      </c>
    </row>
    <row r="948">
      <c r="A948">
        <f>MOD(948-1,101)</f>
        <v>38</v>
      </c>
    </row>
    <row r="949">
      <c r="A949">
        <f>MOD(949-1,101)</f>
        <v>39</v>
      </c>
    </row>
    <row r="950">
      <c r="A950">
        <f>MOD(950-1,101)</f>
        <v>40</v>
      </c>
    </row>
    <row r="951">
      <c r="A951">
        <f>MOD(951-1,101)</f>
        <v>41</v>
      </c>
    </row>
    <row r="952">
      <c r="A952">
        <f>MOD(952-1,101)</f>
        <v>42</v>
      </c>
    </row>
    <row r="953">
      <c r="A953">
        <f>MOD(953-1,101)</f>
        <v>43</v>
      </c>
    </row>
    <row r="954">
      <c r="A954">
        <f>MOD(954-1,101)</f>
        <v>44</v>
      </c>
    </row>
    <row r="955">
      <c r="A955">
        <f>MOD(955-1,101)</f>
        <v>45</v>
      </c>
    </row>
    <row r="956">
      <c r="A956">
        <f>MOD(956-1,101)</f>
        <v>46</v>
      </c>
    </row>
    <row r="957">
      <c r="A957">
        <f>MOD(957-1,101)</f>
        <v>47</v>
      </c>
    </row>
    <row r="958">
      <c r="A958">
        <f>MOD(958-1,101)</f>
        <v>48</v>
      </c>
    </row>
    <row r="959">
      <c r="A959">
        <f>MOD(959-1,101)</f>
        <v>49</v>
      </c>
    </row>
    <row r="960">
      <c r="A960">
        <f>MOD(960-1,101)</f>
        <v>50</v>
      </c>
    </row>
    <row r="961">
      <c r="A961">
        <f>MOD(961-1,101)</f>
        <v>51</v>
      </c>
    </row>
    <row r="962">
      <c r="A962">
        <f>MOD(962-1,101)</f>
        <v>52</v>
      </c>
    </row>
    <row r="963">
      <c r="A963">
        <f>MOD(963-1,101)</f>
        <v>53</v>
      </c>
    </row>
    <row r="964">
      <c r="A964">
        <f>MOD(964-1,101)</f>
        <v>54</v>
      </c>
    </row>
    <row r="965">
      <c r="A965">
        <f>MOD(965-1,101)</f>
        <v>55</v>
      </c>
    </row>
    <row r="966">
      <c r="A966">
        <f>MOD(966-1,101)</f>
        <v>56</v>
      </c>
    </row>
    <row r="967">
      <c r="A967">
        <f>MOD(967-1,101)</f>
        <v>57</v>
      </c>
    </row>
    <row r="968">
      <c r="A968">
        <f>MOD(968-1,101)</f>
        <v>58</v>
      </c>
    </row>
    <row r="969">
      <c r="A969">
        <f>MOD(969-1,101)</f>
        <v>59</v>
      </c>
    </row>
    <row r="970">
      <c r="A970">
        <f>MOD(970-1,101)</f>
        <v>60</v>
      </c>
    </row>
    <row r="971">
      <c r="A971">
        <f>MOD(971-1,101)</f>
        <v>61</v>
      </c>
    </row>
    <row r="972">
      <c r="A972">
        <f>MOD(972-1,101)</f>
        <v>62</v>
      </c>
    </row>
    <row r="973">
      <c r="A973">
        <f>MOD(973-1,101)</f>
        <v>63</v>
      </c>
    </row>
    <row r="974">
      <c r="A974">
        <f>MOD(974-1,101)</f>
        <v>64</v>
      </c>
    </row>
    <row r="975">
      <c r="A975">
        <f>MOD(975-1,101)</f>
        <v>65</v>
      </c>
    </row>
    <row r="976">
      <c r="A976">
        <f>MOD(976-1,101)</f>
        <v>66</v>
      </c>
    </row>
    <row r="977">
      <c r="A977">
        <f>MOD(977-1,101)</f>
        <v>67</v>
      </c>
    </row>
    <row r="978">
      <c r="A978">
        <f>MOD(978-1,101)</f>
        <v>68</v>
      </c>
    </row>
    <row r="979">
      <c r="A979">
        <f>MOD(979-1,101)</f>
        <v>69</v>
      </c>
    </row>
    <row r="980">
      <c r="A980">
        <f>MOD(980-1,101)</f>
        <v>70</v>
      </c>
    </row>
    <row r="981">
      <c r="A981">
        <f>MOD(981-1,101)</f>
        <v>71</v>
      </c>
    </row>
    <row r="982">
      <c r="A982">
        <f>MOD(982-1,101)</f>
        <v>72</v>
      </c>
    </row>
    <row r="983">
      <c r="A983">
        <f>MOD(983-1,101)</f>
        <v>73</v>
      </c>
    </row>
    <row r="984">
      <c r="A984">
        <f>MOD(984-1,101)</f>
        <v>74</v>
      </c>
    </row>
    <row r="985">
      <c r="A985">
        <f>MOD(985-1,101)</f>
        <v>75</v>
      </c>
    </row>
    <row r="986">
      <c r="A986">
        <f>MOD(986-1,101)</f>
        <v>76</v>
      </c>
    </row>
    <row r="987">
      <c r="A987">
        <f>MOD(987-1,101)</f>
        <v>77</v>
      </c>
    </row>
    <row r="988">
      <c r="A988">
        <f>MOD(988-1,101)</f>
        <v>78</v>
      </c>
    </row>
    <row r="989">
      <c r="A989">
        <f>MOD(989-1,101)</f>
        <v>79</v>
      </c>
    </row>
    <row r="990">
      <c r="A990">
        <f>MOD(990-1,101)</f>
        <v>80</v>
      </c>
    </row>
    <row r="991">
      <c r="A991">
        <f>MOD(991-1,101)</f>
        <v>81</v>
      </c>
    </row>
    <row r="992">
      <c r="A992">
        <f>MOD(992-1,101)</f>
        <v>82</v>
      </c>
    </row>
    <row r="993">
      <c r="A993">
        <f>MOD(993-1,101)</f>
        <v>83</v>
      </c>
    </row>
    <row r="994">
      <c r="A994">
        <f>MOD(994-1,101)</f>
        <v>84</v>
      </c>
    </row>
    <row r="995">
      <c r="A995">
        <f>MOD(995-1,101)</f>
        <v>85</v>
      </c>
    </row>
    <row r="996">
      <c r="A996">
        <f>MOD(996-1,101)</f>
        <v>86</v>
      </c>
    </row>
    <row r="997">
      <c r="A997">
        <f>MOD(997-1,101)</f>
        <v>87</v>
      </c>
    </row>
    <row r="998">
      <c r="A998">
        <f>MOD(998-1,101)</f>
        <v>88</v>
      </c>
    </row>
    <row r="999">
      <c r="A999">
        <f>MOD(999-1,101)</f>
        <v>89</v>
      </c>
    </row>
    <row r="1000">
      <c r="A1000">
        <f>MOD(1000-1,101)</f>
        <v>90</v>
      </c>
    </row>
    <row r="1001">
      <c r="A1001">
        <f>MOD(1001-1,101)</f>
        <v>91</v>
      </c>
    </row>
    <row r="1002">
      <c r="A1002">
        <f>MOD(1002-1,101)</f>
        <v>92</v>
      </c>
    </row>
    <row r="1003">
      <c r="A1003">
        <f>MOD(1003-1,101)</f>
        <v>93</v>
      </c>
    </row>
    <row r="1004">
      <c r="A1004">
        <f>MOD(1004-1,101)</f>
        <v>94</v>
      </c>
    </row>
    <row r="1005">
      <c r="A1005">
        <f>MOD(1005-1,101)</f>
        <v>95</v>
      </c>
    </row>
    <row r="1006">
      <c r="A1006">
        <f>MOD(1006-1,101)</f>
        <v>96</v>
      </c>
    </row>
    <row r="1007">
      <c r="A1007">
        <f>MOD(1007-1,101)</f>
        <v>97</v>
      </c>
    </row>
    <row r="1008">
      <c r="A1008">
        <f>MOD(1008-1,101)</f>
        <v>98</v>
      </c>
    </row>
    <row r="1009">
      <c r="A1009">
        <f>MOD(1009-1,101)</f>
        <v>99</v>
      </c>
    </row>
    <row r="1010">
      <c r="A1010">
        <f>MOD(1010-1,101)</f>
        <v>100</v>
      </c>
    </row>
    <row r="1011">
      <c r="A1011">
        <f>MOD(1011-1,101)</f>
        <v>0</v>
      </c>
    </row>
    <row r="1012">
      <c r="A1012">
        <f>MOD(1012-1,101)</f>
        <v>1</v>
      </c>
    </row>
    <row r="1013">
      <c r="A1013">
        <f>MOD(1013-1,101)</f>
        <v>2</v>
      </c>
    </row>
    <row r="1014">
      <c r="A1014">
        <f>MOD(1014-1,101)</f>
        <v>3</v>
      </c>
    </row>
    <row r="1015">
      <c r="A1015">
        <f>MOD(1015-1,101)</f>
        <v>4</v>
      </c>
    </row>
    <row r="1016">
      <c r="A1016">
        <f>MOD(1016-1,101)</f>
        <v>5</v>
      </c>
    </row>
    <row r="1017">
      <c r="A1017">
        <f>MOD(1017-1,101)</f>
        <v>6</v>
      </c>
    </row>
    <row r="1018">
      <c r="A1018">
        <f>MOD(1018-1,101)</f>
        <v>7</v>
      </c>
    </row>
    <row r="1019">
      <c r="A1019">
        <f>MOD(1019-1,101)</f>
        <v>8</v>
      </c>
    </row>
    <row r="1020">
      <c r="A1020">
        <f>MOD(1020-1,101)</f>
        <v>9</v>
      </c>
    </row>
    <row r="1021">
      <c r="A1021">
        <f>MOD(1021-1,101)</f>
        <v>10</v>
      </c>
    </row>
    <row r="1022">
      <c r="A1022">
        <f>MOD(1022-1,101)</f>
        <v>11</v>
      </c>
    </row>
    <row r="1023">
      <c r="A1023">
        <f>MOD(1023-1,101)</f>
        <v>12</v>
      </c>
    </row>
    <row r="1024">
      <c r="A1024">
        <f>MOD(1024-1,101)</f>
        <v>13</v>
      </c>
    </row>
    <row r="1025">
      <c r="A1025">
        <f>MOD(1025-1,101)</f>
        <v>14</v>
      </c>
    </row>
    <row r="1026">
      <c r="A1026">
        <f>MOD(1026-1,101)</f>
        <v>15</v>
      </c>
    </row>
    <row r="1027">
      <c r="A1027">
        <f>MOD(1027-1,101)</f>
        <v>16</v>
      </c>
    </row>
    <row r="1028">
      <c r="A1028">
        <f>MOD(1028-1,101)</f>
        <v>17</v>
      </c>
    </row>
    <row r="1029">
      <c r="A1029">
        <f>MOD(1029-1,101)</f>
        <v>18</v>
      </c>
    </row>
    <row r="1030">
      <c r="A1030">
        <f>MOD(1030-1,101)</f>
        <v>19</v>
      </c>
    </row>
    <row r="1031">
      <c r="A1031">
        <f>MOD(1031-1,101)</f>
        <v>20</v>
      </c>
    </row>
    <row r="1032">
      <c r="A1032">
        <f>MOD(1032-1,101)</f>
        <v>21</v>
      </c>
    </row>
    <row r="1033">
      <c r="A1033">
        <f>MOD(1033-1,101)</f>
        <v>22</v>
      </c>
    </row>
    <row r="1034">
      <c r="A1034">
        <f>MOD(1034-1,101)</f>
        <v>23</v>
      </c>
    </row>
    <row r="1035">
      <c r="A1035">
        <f>MOD(1035-1,101)</f>
        <v>24</v>
      </c>
    </row>
    <row r="1036">
      <c r="A1036">
        <f>MOD(1036-1,101)</f>
        <v>25</v>
      </c>
    </row>
    <row r="1037">
      <c r="A1037">
        <f>MOD(1037-1,101)</f>
        <v>26</v>
      </c>
    </row>
    <row r="1038">
      <c r="A1038">
        <f>MOD(1038-1,101)</f>
        <v>27</v>
      </c>
    </row>
    <row r="1039">
      <c r="A1039">
        <f>MOD(1039-1,101)</f>
        <v>28</v>
      </c>
    </row>
    <row r="1040">
      <c r="A1040">
        <f>MOD(1040-1,101)</f>
        <v>29</v>
      </c>
    </row>
    <row r="1041">
      <c r="A1041">
        <f>MOD(1041-1,101)</f>
        <v>30</v>
      </c>
    </row>
    <row r="1042">
      <c r="A1042">
        <f>MOD(1042-1,101)</f>
        <v>31</v>
      </c>
    </row>
    <row r="1043">
      <c r="A1043">
        <f>MOD(1043-1,101)</f>
        <v>32</v>
      </c>
    </row>
    <row r="1044">
      <c r="A1044">
        <f>MOD(1044-1,101)</f>
        <v>33</v>
      </c>
    </row>
    <row r="1045">
      <c r="A1045">
        <f>MOD(1045-1,101)</f>
        <v>34</v>
      </c>
    </row>
    <row r="1046">
      <c r="A1046">
        <f>MOD(1046-1,101)</f>
        <v>35</v>
      </c>
    </row>
    <row r="1047">
      <c r="A1047">
        <f>MOD(1047-1,101)</f>
        <v>36</v>
      </c>
    </row>
    <row r="1048">
      <c r="A1048">
        <f>MOD(1048-1,101)</f>
        <v>37</v>
      </c>
    </row>
    <row r="1049">
      <c r="A1049">
        <f>MOD(1049-1,101)</f>
        <v>38</v>
      </c>
    </row>
    <row r="1050">
      <c r="A1050">
        <f>MOD(1050-1,101)</f>
        <v>39</v>
      </c>
    </row>
    <row r="1051">
      <c r="A1051">
        <f>MOD(1051-1,101)</f>
        <v>40</v>
      </c>
    </row>
    <row r="1052">
      <c r="A1052">
        <f>MOD(1052-1,101)</f>
        <v>41</v>
      </c>
    </row>
    <row r="1053">
      <c r="A1053">
        <f>MOD(1053-1,101)</f>
        <v>42</v>
      </c>
    </row>
    <row r="1054">
      <c r="A1054">
        <f>MOD(1054-1,101)</f>
        <v>43</v>
      </c>
    </row>
    <row r="1055">
      <c r="A1055">
        <f>MOD(1055-1,101)</f>
        <v>44</v>
      </c>
    </row>
    <row r="1056">
      <c r="A1056">
        <f>MOD(1056-1,101)</f>
        <v>45</v>
      </c>
    </row>
    <row r="1057">
      <c r="A1057">
        <f>MOD(1057-1,101)</f>
        <v>46</v>
      </c>
    </row>
    <row r="1058">
      <c r="A1058">
        <f>MOD(1058-1,101)</f>
        <v>47</v>
      </c>
    </row>
    <row r="1059">
      <c r="A1059">
        <f>MOD(1059-1,101)</f>
        <v>48</v>
      </c>
    </row>
    <row r="1060">
      <c r="A1060">
        <f>MOD(1060-1,101)</f>
        <v>49</v>
      </c>
    </row>
    <row r="1061">
      <c r="A1061">
        <f>MOD(1061-1,101)</f>
        <v>50</v>
      </c>
    </row>
    <row r="1062">
      <c r="A1062">
        <f>MOD(1062-1,101)</f>
        <v>51</v>
      </c>
    </row>
    <row r="1063">
      <c r="A1063">
        <f>MOD(1063-1,101)</f>
        <v>52</v>
      </c>
    </row>
    <row r="1064">
      <c r="A1064">
        <f>MOD(1064-1,101)</f>
        <v>53</v>
      </c>
    </row>
    <row r="1065">
      <c r="A1065">
        <f>MOD(1065-1,101)</f>
        <v>54</v>
      </c>
    </row>
    <row r="1066">
      <c r="A1066">
        <f>MOD(1066-1,101)</f>
        <v>55</v>
      </c>
    </row>
    <row r="1067">
      <c r="A1067">
        <f>MOD(1067-1,101)</f>
        <v>56</v>
      </c>
    </row>
    <row r="1068">
      <c r="A1068">
        <f>MOD(1068-1,101)</f>
        <v>57</v>
      </c>
    </row>
    <row r="1069">
      <c r="A1069">
        <f>MOD(1069-1,101)</f>
        <v>58</v>
      </c>
    </row>
    <row r="1070">
      <c r="A1070">
        <f>MOD(1070-1,101)</f>
        <v>59</v>
      </c>
    </row>
    <row r="1071">
      <c r="A1071">
        <f>MOD(1071-1,101)</f>
        <v>60</v>
      </c>
    </row>
    <row r="1072">
      <c r="A1072">
        <f>MOD(1072-1,101)</f>
        <v>61</v>
      </c>
    </row>
    <row r="1073">
      <c r="A1073">
        <f>MOD(1073-1,101)</f>
        <v>62</v>
      </c>
    </row>
    <row r="1074">
      <c r="A1074">
        <f>MOD(1074-1,101)</f>
        <v>63</v>
      </c>
    </row>
    <row r="1075">
      <c r="A1075">
        <f>MOD(1075-1,101)</f>
        <v>64</v>
      </c>
    </row>
    <row r="1076">
      <c r="A1076">
        <f>MOD(1076-1,101)</f>
        <v>65</v>
      </c>
    </row>
    <row r="1077">
      <c r="A1077">
        <f>MOD(1077-1,101)</f>
        <v>66</v>
      </c>
    </row>
    <row r="1078">
      <c r="A1078">
        <f>MOD(1078-1,101)</f>
        <v>67</v>
      </c>
    </row>
    <row r="1079">
      <c r="A1079">
        <f>MOD(1079-1,101)</f>
        <v>68</v>
      </c>
    </row>
    <row r="1080">
      <c r="A1080">
        <f>MOD(1080-1,101)</f>
        <v>69</v>
      </c>
    </row>
    <row r="1081">
      <c r="A1081">
        <f>MOD(1081-1,101)</f>
        <v>70</v>
      </c>
    </row>
    <row r="1082">
      <c r="A1082">
        <f>MOD(1082-1,101)</f>
        <v>71</v>
      </c>
    </row>
    <row r="1083">
      <c r="A1083">
        <f>MOD(1083-1,101)</f>
        <v>72</v>
      </c>
    </row>
    <row r="1084">
      <c r="A1084">
        <f>MOD(1084-1,101)</f>
        <v>73</v>
      </c>
    </row>
    <row r="1085">
      <c r="A1085">
        <f>MOD(1085-1,101)</f>
        <v>74</v>
      </c>
    </row>
    <row r="1086">
      <c r="A1086">
        <f>MOD(1086-1,101)</f>
        <v>75</v>
      </c>
    </row>
    <row r="1087">
      <c r="A1087">
        <f>MOD(1087-1,101)</f>
        <v>76</v>
      </c>
    </row>
    <row r="1088">
      <c r="A1088">
        <f>MOD(1088-1,101)</f>
        <v>77</v>
      </c>
    </row>
    <row r="1089">
      <c r="A1089">
        <f>MOD(1089-1,101)</f>
        <v>78</v>
      </c>
    </row>
    <row r="1090">
      <c r="A1090">
        <f>MOD(1090-1,101)</f>
        <v>79</v>
      </c>
    </row>
    <row r="1091">
      <c r="A1091">
        <f>MOD(1091-1,101)</f>
        <v>80</v>
      </c>
    </row>
    <row r="1092">
      <c r="A1092">
        <f>MOD(1092-1,101)</f>
        <v>81</v>
      </c>
    </row>
    <row r="1093">
      <c r="A1093">
        <f>MOD(1093-1,101)</f>
        <v>82</v>
      </c>
    </row>
    <row r="1094">
      <c r="A1094">
        <f>MOD(1094-1,101)</f>
        <v>83</v>
      </c>
    </row>
    <row r="1095">
      <c r="A1095">
        <f>MOD(1095-1,101)</f>
        <v>84</v>
      </c>
    </row>
    <row r="1096">
      <c r="A1096">
        <f>MOD(1096-1,101)</f>
        <v>85</v>
      </c>
    </row>
    <row r="1097">
      <c r="A1097">
        <f>MOD(1097-1,101)</f>
        <v>86</v>
      </c>
    </row>
    <row r="1098">
      <c r="A1098">
        <f>MOD(1098-1,101)</f>
        <v>87</v>
      </c>
    </row>
    <row r="1099">
      <c r="A1099">
        <f>MOD(1099-1,101)</f>
        <v>88</v>
      </c>
    </row>
    <row r="1100">
      <c r="A1100">
        <f>MOD(1100-1,101)</f>
        <v>89</v>
      </c>
    </row>
    <row r="1101">
      <c r="A1101">
        <f>MOD(1101-1,101)</f>
        <v>90</v>
      </c>
    </row>
    <row r="1102">
      <c r="A1102">
        <f>MOD(1102-1,101)</f>
        <v>91</v>
      </c>
    </row>
    <row r="1103">
      <c r="A1103">
        <f>MOD(1103-1,101)</f>
        <v>92</v>
      </c>
    </row>
    <row r="1104">
      <c r="A1104">
        <f>MOD(1104-1,101)</f>
        <v>93</v>
      </c>
    </row>
    <row r="1105">
      <c r="A1105">
        <f>MOD(1105-1,101)</f>
        <v>94</v>
      </c>
    </row>
    <row r="1106">
      <c r="A1106">
        <f>MOD(1106-1,101)</f>
        <v>95</v>
      </c>
    </row>
    <row r="1107">
      <c r="A1107">
        <f>MOD(1107-1,101)</f>
        <v>96</v>
      </c>
    </row>
    <row r="1108">
      <c r="A1108">
        <f>MOD(1108-1,101)</f>
        <v>97</v>
      </c>
    </row>
    <row r="1109">
      <c r="A1109">
        <f>MOD(1109-1,101)</f>
        <v>98</v>
      </c>
    </row>
    <row r="1110">
      <c r="A1110">
        <f>MOD(1110-1,101)</f>
        <v>99</v>
      </c>
    </row>
    <row r="1111">
      <c r="A1111">
        <f>MOD(1111-1,101)</f>
        <v>100</v>
      </c>
    </row>
    <row r="1112">
      <c r="A1112">
        <f>MOD(1112-1,101)</f>
        <v>0</v>
      </c>
    </row>
    <row r="1113">
      <c r="A1113">
        <f>MOD(1113-1,101)</f>
        <v>1</v>
      </c>
    </row>
    <row r="1114">
      <c r="A1114">
        <f>MOD(1114-1,101)</f>
        <v>2</v>
      </c>
    </row>
    <row r="1115">
      <c r="A1115">
        <f>MOD(1115-1,101)</f>
        <v>3</v>
      </c>
    </row>
    <row r="1116">
      <c r="A1116">
        <f>MOD(1116-1,101)</f>
        <v>4</v>
      </c>
    </row>
    <row r="1117">
      <c r="A1117">
        <f>MOD(1117-1,101)</f>
        <v>5</v>
      </c>
    </row>
    <row r="1118">
      <c r="A1118">
        <f>MOD(1118-1,101)</f>
        <v>6</v>
      </c>
    </row>
    <row r="1119">
      <c r="A1119">
        <f>MOD(1119-1,101)</f>
        <v>7</v>
      </c>
    </row>
    <row r="1120">
      <c r="A1120">
        <f>MOD(1120-1,101)</f>
        <v>8</v>
      </c>
    </row>
    <row r="1121">
      <c r="A1121">
        <f>MOD(1121-1,101)</f>
        <v>9</v>
      </c>
    </row>
    <row r="1122">
      <c r="A1122">
        <f>MOD(1122-1,101)</f>
        <v>10</v>
      </c>
    </row>
    <row r="1123">
      <c r="A1123">
        <f>MOD(1123-1,101)</f>
        <v>11</v>
      </c>
    </row>
    <row r="1124">
      <c r="A1124">
        <f>MOD(1124-1,101)</f>
        <v>12</v>
      </c>
    </row>
    <row r="1125">
      <c r="A1125">
        <f>MOD(1125-1,101)</f>
        <v>13</v>
      </c>
    </row>
    <row r="1126">
      <c r="A1126">
        <f>MOD(1126-1,101)</f>
        <v>14</v>
      </c>
    </row>
    <row r="1127">
      <c r="A1127">
        <f>MOD(1127-1,101)</f>
        <v>15</v>
      </c>
    </row>
    <row r="1128">
      <c r="A1128">
        <f>MOD(1128-1,101)</f>
        <v>16</v>
      </c>
    </row>
    <row r="1129">
      <c r="A1129">
        <f>MOD(1129-1,101)</f>
        <v>17</v>
      </c>
    </row>
    <row r="1130">
      <c r="A1130">
        <f>MOD(1130-1,101)</f>
        <v>18</v>
      </c>
    </row>
    <row r="1131">
      <c r="A1131">
        <f>MOD(1131-1,101)</f>
        <v>19</v>
      </c>
    </row>
    <row r="1132">
      <c r="A1132">
        <f>MOD(1132-1,101)</f>
        <v>20</v>
      </c>
    </row>
    <row r="1133">
      <c r="A1133">
        <f>MOD(1133-1,101)</f>
        <v>21</v>
      </c>
    </row>
    <row r="1134">
      <c r="A1134">
        <f>MOD(1134-1,101)</f>
        <v>22</v>
      </c>
    </row>
    <row r="1135">
      <c r="A1135">
        <f>MOD(1135-1,101)</f>
        <v>23</v>
      </c>
    </row>
    <row r="1136">
      <c r="A1136">
        <f>MOD(1136-1,101)</f>
        <v>24</v>
      </c>
    </row>
    <row r="1137">
      <c r="A1137">
        <f>MOD(1137-1,101)</f>
        <v>25</v>
      </c>
    </row>
    <row r="1138">
      <c r="A1138">
        <f>MOD(1138-1,101)</f>
        <v>26</v>
      </c>
    </row>
    <row r="1139">
      <c r="A1139">
        <f>MOD(1139-1,101)</f>
        <v>27</v>
      </c>
    </row>
    <row r="1140">
      <c r="A1140">
        <f>MOD(1140-1,101)</f>
        <v>28</v>
      </c>
    </row>
    <row r="1141">
      <c r="A1141">
        <f>MOD(1141-1,101)</f>
        <v>29</v>
      </c>
    </row>
    <row r="1142">
      <c r="A1142">
        <f>MOD(1142-1,101)</f>
        <v>30</v>
      </c>
    </row>
    <row r="1143">
      <c r="A1143">
        <f>MOD(1143-1,101)</f>
        <v>31</v>
      </c>
    </row>
    <row r="1144">
      <c r="A1144">
        <f>MOD(1144-1,101)</f>
        <v>32</v>
      </c>
    </row>
    <row r="1145">
      <c r="A1145">
        <f>MOD(1145-1,101)</f>
        <v>33</v>
      </c>
    </row>
    <row r="1146">
      <c r="A1146">
        <f>MOD(1146-1,101)</f>
        <v>34</v>
      </c>
    </row>
    <row r="1147">
      <c r="A1147">
        <f>MOD(1147-1,101)</f>
        <v>35</v>
      </c>
    </row>
    <row r="1148">
      <c r="A1148">
        <f>MOD(1148-1,101)</f>
        <v>36</v>
      </c>
    </row>
    <row r="1149">
      <c r="A1149">
        <f>MOD(1149-1,101)</f>
        <v>37</v>
      </c>
    </row>
    <row r="1150">
      <c r="A1150">
        <f>MOD(1150-1,101)</f>
        <v>38</v>
      </c>
    </row>
    <row r="1151">
      <c r="A1151">
        <f>MOD(1151-1,101)</f>
        <v>39</v>
      </c>
    </row>
    <row r="1152">
      <c r="A1152">
        <f>MOD(1152-1,101)</f>
        <v>40</v>
      </c>
    </row>
    <row r="1153">
      <c r="A1153">
        <f>MOD(1153-1,101)</f>
        <v>41</v>
      </c>
    </row>
    <row r="1154">
      <c r="A1154">
        <f>MOD(1154-1,101)</f>
        <v>42</v>
      </c>
    </row>
    <row r="1155">
      <c r="A1155">
        <f>MOD(1155-1,101)</f>
        <v>43</v>
      </c>
    </row>
    <row r="1156">
      <c r="A1156">
        <f>MOD(1156-1,101)</f>
        <v>44</v>
      </c>
    </row>
    <row r="1157">
      <c r="A1157">
        <f>MOD(1157-1,101)</f>
        <v>45</v>
      </c>
    </row>
    <row r="1158">
      <c r="A1158">
        <f>MOD(1158-1,101)</f>
        <v>46</v>
      </c>
    </row>
    <row r="1159">
      <c r="A1159">
        <f>MOD(1159-1,101)</f>
        <v>47</v>
      </c>
    </row>
    <row r="1160">
      <c r="A1160">
        <f>MOD(1160-1,101)</f>
        <v>48</v>
      </c>
    </row>
    <row r="1161">
      <c r="A1161">
        <f>MOD(1161-1,101)</f>
        <v>49</v>
      </c>
    </row>
    <row r="1162">
      <c r="A1162">
        <f>MOD(1162-1,101)</f>
        <v>50</v>
      </c>
    </row>
    <row r="1163">
      <c r="A1163">
        <f>MOD(1163-1,101)</f>
        <v>51</v>
      </c>
    </row>
    <row r="1164">
      <c r="A1164">
        <f>MOD(1164-1,101)</f>
        <v>52</v>
      </c>
    </row>
    <row r="1165">
      <c r="A1165">
        <f>MOD(1165-1,101)</f>
        <v>53</v>
      </c>
    </row>
    <row r="1166">
      <c r="A1166">
        <f>MOD(1166-1,101)</f>
        <v>54</v>
      </c>
    </row>
    <row r="1167">
      <c r="A1167">
        <f>MOD(1167-1,101)</f>
        <v>55</v>
      </c>
    </row>
    <row r="1168">
      <c r="A1168">
        <f>MOD(1168-1,101)</f>
        <v>56</v>
      </c>
    </row>
    <row r="1169">
      <c r="A1169">
        <f>MOD(1169-1,101)</f>
        <v>57</v>
      </c>
    </row>
    <row r="1170">
      <c r="A1170">
        <f>MOD(1170-1,101)</f>
        <v>58</v>
      </c>
    </row>
    <row r="1171">
      <c r="A1171">
        <f>MOD(1171-1,101)</f>
        <v>59</v>
      </c>
    </row>
    <row r="1172">
      <c r="A1172">
        <f>MOD(1172-1,101)</f>
        <v>60</v>
      </c>
    </row>
    <row r="1173">
      <c r="A1173">
        <f>MOD(1173-1,101)</f>
        <v>61</v>
      </c>
    </row>
    <row r="1174">
      <c r="A1174">
        <f>MOD(1174-1,101)</f>
        <v>62</v>
      </c>
    </row>
    <row r="1175">
      <c r="A1175">
        <f>MOD(1175-1,101)</f>
        <v>63</v>
      </c>
    </row>
    <row r="1176">
      <c r="A1176">
        <f>MOD(1176-1,101)</f>
        <v>64</v>
      </c>
    </row>
    <row r="1177">
      <c r="A1177">
        <f>MOD(1177-1,101)</f>
        <v>65</v>
      </c>
    </row>
    <row r="1178">
      <c r="A1178">
        <f>MOD(1178-1,101)</f>
        <v>66</v>
      </c>
    </row>
    <row r="1179">
      <c r="A1179">
        <f>MOD(1179-1,101)</f>
        <v>67</v>
      </c>
    </row>
    <row r="1180">
      <c r="A1180">
        <f>MOD(1180-1,101)</f>
        <v>68</v>
      </c>
    </row>
    <row r="1181">
      <c r="A1181">
        <f>MOD(1181-1,101)</f>
        <v>69</v>
      </c>
    </row>
    <row r="1182">
      <c r="A1182">
        <f>MOD(1182-1,101)</f>
        <v>70</v>
      </c>
    </row>
    <row r="1183">
      <c r="A1183">
        <f>MOD(1183-1,101)</f>
        <v>71</v>
      </c>
    </row>
    <row r="1184">
      <c r="A1184">
        <f>MOD(1184-1,101)</f>
        <v>72</v>
      </c>
    </row>
    <row r="1185">
      <c r="A1185">
        <f>MOD(1185-1,101)</f>
        <v>73</v>
      </c>
    </row>
    <row r="1186">
      <c r="A1186">
        <f>MOD(1186-1,101)</f>
        <v>74</v>
      </c>
    </row>
    <row r="1187">
      <c r="A1187">
        <f>MOD(1187-1,101)</f>
        <v>75</v>
      </c>
    </row>
    <row r="1188">
      <c r="A1188">
        <f>MOD(1188-1,101)</f>
        <v>76</v>
      </c>
    </row>
    <row r="1189">
      <c r="A1189">
        <f>MOD(1189-1,101)</f>
        <v>77</v>
      </c>
    </row>
    <row r="1190">
      <c r="A1190">
        <f>MOD(1190-1,101)</f>
        <v>78</v>
      </c>
    </row>
    <row r="1191">
      <c r="A1191">
        <f>MOD(1191-1,101)</f>
        <v>79</v>
      </c>
    </row>
    <row r="1192">
      <c r="A1192">
        <f>MOD(1192-1,101)</f>
        <v>80</v>
      </c>
    </row>
    <row r="1193">
      <c r="A1193">
        <f>MOD(1193-1,101)</f>
        <v>81</v>
      </c>
    </row>
    <row r="1194">
      <c r="A1194">
        <f>MOD(1194-1,101)</f>
        <v>82</v>
      </c>
    </row>
    <row r="1195">
      <c r="A1195">
        <f>MOD(1195-1,101)</f>
        <v>83</v>
      </c>
    </row>
    <row r="1196">
      <c r="A1196">
        <f>MOD(1196-1,101)</f>
        <v>84</v>
      </c>
    </row>
    <row r="1197">
      <c r="A1197">
        <f>MOD(1197-1,101)</f>
        <v>85</v>
      </c>
    </row>
    <row r="1198">
      <c r="A1198">
        <f>MOD(1198-1,101)</f>
        <v>86</v>
      </c>
    </row>
    <row r="1199">
      <c r="A1199">
        <f>MOD(1199-1,101)</f>
        <v>87</v>
      </c>
    </row>
    <row r="1200">
      <c r="A1200">
        <f>MOD(1200-1,101)</f>
        <v>88</v>
      </c>
    </row>
    <row r="1201">
      <c r="A1201">
        <f>MOD(1201-1,101)</f>
        <v>89</v>
      </c>
    </row>
    <row r="1202">
      <c r="A1202">
        <f>MOD(1202-1,101)</f>
        <v>90</v>
      </c>
    </row>
    <row r="1203">
      <c r="A1203">
        <f>MOD(1203-1,101)</f>
        <v>91</v>
      </c>
    </row>
    <row r="1204">
      <c r="A1204">
        <f>MOD(1204-1,101)</f>
        <v>92</v>
      </c>
    </row>
    <row r="1205">
      <c r="A1205">
        <f>MOD(1205-1,101)</f>
        <v>93</v>
      </c>
    </row>
    <row r="1206">
      <c r="A1206">
        <f>MOD(1206-1,101)</f>
        <v>94</v>
      </c>
    </row>
    <row r="1207">
      <c r="A1207">
        <f>MOD(1207-1,101)</f>
        <v>95</v>
      </c>
    </row>
    <row r="1208">
      <c r="A1208">
        <f>MOD(1208-1,101)</f>
        <v>96</v>
      </c>
    </row>
    <row r="1209">
      <c r="A1209">
        <f>MOD(1209-1,101)</f>
        <v>97</v>
      </c>
    </row>
    <row r="1210">
      <c r="A1210">
        <f>MOD(1210-1,101)</f>
        <v>98</v>
      </c>
    </row>
    <row r="1211">
      <c r="A1211">
        <f>MOD(1211-1,101)</f>
        <v>99</v>
      </c>
    </row>
    <row r="1212">
      <c r="A1212">
        <f>MOD(1212-1,101)</f>
        <v>100</v>
      </c>
    </row>
    <row r="1213">
      <c r="A1213">
        <f>MOD(1213-1,101)</f>
        <v>0</v>
      </c>
    </row>
    <row r="1214">
      <c r="A1214">
        <f>MOD(1214-1,101)</f>
        <v>1</v>
      </c>
    </row>
    <row r="1215">
      <c r="A1215">
        <f>MOD(1215-1,101)</f>
        <v>2</v>
      </c>
    </row>
    <row r="1216">
      <c r="A1216">
        <f>MOD(1216-1,101)</f>
        <v>3</v>
      </c>
    </row>
    <row r="1217">
      <c r="A1217">
        <f>MOD(1217-1,101)</f>
        <v>4</v>
      </c>
    </row>
    <row r="1218">
      <c r="A1218">
        <f>MOD(1218-1,101)</f>
        <v>5</v>
      </c>
    </row>
    <row r="1219">
      <c r="A1219">
        <f>MOD(1219-1,101)</f>
        <v>6</v>
      </c>
    </row>
    <row r="1220">
      <c r="A1220">
        <f>MOD(1220-1,101)</f>
        <v>7</v>
      </c>
    </row>
    <row r="1221">
      <c r="A1221">
        <f>MOD(1221-1,101)</f>
        <v>8</v>
      </c>
    </row>
    <row r="1222">
      <c r="A1222">
        <f>MOD(1222-1,101)</f>
        <v>9</v>
      </c>
    </row>
    <row r="1223">
      <c r="A1223">
        <f>MOD(1223-1,101)</f>
        <v>10</v>
      </c>
    </row>
    <row r="1224">
      <c r="A1224">
        <f>MOD(1224-1,101)</f>
        <v>11</v>
      </c>
    </row>
    <row r="1225">
      <c r="A1225">
        <f>MOD(1225-1,101)</f>
        <v>12</v>
      </c>
    </row>
    <row r="1226">
      <c r="A1226">
        <f>MOD(1226-1,101)</f>
        <v>13</v>
      </c>
    </row>
    <row r="1227">
      <c r="A1227">
        <f>MOD(1227-1,101)</f>
        <v>14</v>
      </c>
    </row>
    <row r="1228">
      <c r="A1228">
        <f>MOD(1228-1,101)</f>
        <v>15</v>
      </c>
    </row>
    <row r="1229">
      <c r="A1229">
        <f>MOD(1229-1,101)</f>
        <v>16</v>
      </c>
    </row>
    <row r="1230">
      <c r="A1230">
        <f>MOD(1230-1,101)</f>
        <v>17</v>
      </c>
    </row>
    <row r="1231">
      <c r="A1231">
        <f>MOD(1231-1,101)</f>
        <v>18</v>
      </c>
    </row>
    <row r="1232">
      <c r="A1232">
        <f>MOD(1232-1,101)</f>
        <v>19</v>
      </c>
    </row>
    <row r="1233">
      <c r="A1233">
        <f>MOD(1233-1,101)</f>
        <v>20</v>
      </c>
    </row>
    <row r="1234">
      <c r="A1234">
        <f>MOD(1234-1,101)</f>
        <v>21</v>
      </c>
    </row>
    <row r="1235">
      <c r="A1235">
        <f>MOD(1235-1,101)</f>
        <v>22</v>
      </c>
    </row>
    <row r="1236">
      <c r="A1236">
        <f>MOD(1236-1,101)</f>
        <v>23</v>
      </c>
    </row>
    <row r="1237">
      <c r="A1237">
        <f>MOD(1237-1,101)</f>
        <v>24</v>
      </c>
    </row>
    <row r="1238">
      <c r="A1238">
        <f>MOD(1238-1,101)</f>
        <v>25</v>
      </c>
    </row>
    <row r="1239">
      <c r="A1239">
        <f>MOD(1239-1,101)</f>
        <v>26</v>
      </c>
    </row>
    <row r="1240">
      <c r="A1240">
        <f>MOD(1240-1,101)</f>
        <v>27</v>
      </c>
    </row>
    <row r="1241">
      <c r="A1241">
        <f>MOD(1241-1,101)</f>
        <v>28</v>
      </c>
    </row>
    <row r="1242">
      <c r="A1242">
        <f>MOD(1242-1,101)</f>
        <v>29</v>
      </c>
    </row>
    <row r="1243">
      <c r="A1243">
        <f>MOD(1243-1,101)</f>
        <v>30</v>
      </c>
    </row>
    <row r="1244">
      <c r="A1244">
        <f>MOD(1244-1,101)</f>
        <v>31</v>
      </c>
    </row>
    <row r="1245">
      <c r="A1245">
        <f>MOD(1245-1,101)</f>
        <v>32</v>
      </c>
    </row>
    <row r="1246">
      <c r="A1246">
        <f>MOD(1246-1,101)</f>
        <v>33</v>
      </c>
    </row>
    <row r="1247">
      <c r="A1247">
        <f>MOD(1247-1,101)</f>
        <v>34</v>
      </c>
    </row>
    <row r="1248">
      <c r="A1248">
        <f>MOD(1248-1,101)</f>
        <v>35</v>
      </c>
    </row>
    <row r="1249">
      <c r="A1249">
        <f>MOD(1249-1,101)</f>
        <v>36</v>
      </c>
    </row>
    <row r="1250">
      <c r="A1250">
        <f>MOD(1250-1,101)</f>
        <v>37</v>
      </c>
    </row>
    <row r="1251">
      <c r="A1251">
        <f>MOD(1251-1,101)</f>
        <v>38</v>
      </c>
    </row>
    <row r="1252">
      <c r="A1252">
        <f>MOD(1252-1,101)</f>
        <v>39</v>
      </c>
    </row>
    <row r="1253">
      <c r="A1253">
        <f>MOD(1253-1,101)</f>
        <v>40</v>
      </c>
    </row>
    <row r="1254">
      <c r="A1254">
        <f>MOD(1254-1,101)</f>
        <v>41</v>
      </c>
    </row>
    <row r="1255">
      <c r="A1255">
        <f>MOD(1255-1,101)</f>
        <v>42</v>
      </c>
    </row>
    <row r="1256">
      <c r="A1256">
        <f>MOD(1256-1,101)</f>
        <v>43</v>
      </c>
    </row>
    <row r="1257">
      <c r="A1257">
        <f>MOD(1257-1,101)</f>
        <v>44</v>
      </c>
    </row>
    <row r="1258">
      <c r="A1258">
        <f>MOD(1258-1,101)</f>
        <v>45</v>
      </c>
    </row>
    <row r="1259">
      <c r="A1259">
        <f>MOD(1259-1,101)</f>
        <v>46</v>
      </c>
    </row>
    <row r="1260">
      <c r="A1260">
        <f>MOD(1260-1,101)</f>
        <v>47</v>
      </c>
    </row>
    <row r="1261">
      <c r="A1261">
        <f>MOD(1261-1,101)</f>
        <v>48</v>
      </c>
    </row>
    <row r="1262">
      <c r="A1262">
        <f>MOD(1262-1,101)</f>
        <v>49</v>
      </c>
    </row>
    <row r="1263">
      <c r="A1263">
        <f>MOD(1263-1,101)</f>
        <v>50</v>
      </c>
    </row>
    <row r="1264">
      <c r="A1264">
        <f>MOD(1264-1,101)</f>
        <v>51</v>
      </c>
    </row>
    <row r="1265">
      <c r="A1265">
        <f>MOD(1265-1,101)</f>
        <v>52</v>
      </c>
    </row>
    <row r="1266">
      <c r="A1266">
        <f>MOD(1266-1,101)</f>
        <v>53</v>
      </c>
    </row>
    <row r="1267">
      <c r="A1267">
        <f>MOD(1267-1,101)</f>
        <v>54</v>
      </c>
    </row>
    <row r="1268">
      <c r="A1268">
        <f>MOD(1268-1,101)</f>
        <v>55</v>
      </c>
    </row>
    <row r="1269">
      <c r="A1269">
        <f>MOD(1269-1,101)</f>
        <v>56</v>
      </c>
    </row>
    <row r="1270">
      <c r="A1270">
        <f>MOD(1270-1,101)</f>
        <v>57</v>
      </c>
    </row>
    <row r="1271">
      <c r="A1271">
        <f>MOD(1271-1,101)</f>
        <v>58</v>
      </c>
    </row>
    <row r="1272">
      <c r="A1272">
        <f>MOD(1272-1,101)</f>
        <v>59</v>
      </c>
    </row>
    <row r="1273">
      <c r="A1273">
        <f>MOD(1273-1,101)</f>
        <v>60</v>
      </c>
    </row>
    <row r="1274">
      <c r="A1274">
        <f>MOD(1274-1,101)</f>
        <v>61</v>
      </c>
    </row>
    <row r="1275">
      <c r="A1275">
        <f>MOD(1275-1,101)</f>
        <v>62</v>
      </c>
    </row>
    <row r="1276">
      <c r="A1276">
        <f>MOD(1276-1,101)</f>
        <v>63</v>
      </c>
    </row>
    <row r="1277">
      <c r="A1277">
        <f>MOD(1277-1,101)</f>
        <v>64</v>
      </c>
    </row>
    <row r="1278">
      <c r="A1278">
        <f>MOD(1278-1,101)</f>
        <v>65</v>
      </c>
    </row>
    <row r="1279">
      <c r="A1279">
        <f>MOD(1279-1,101)</f>
        <v>66</v>
      </c>
    </row>
    <row r="1280">
      <c r="A1280">
        <f>MOD(1280-1,101)</f>
        <v>67</v>
      </c>
    </row>
    <row r="1281">
      <c r="A1281">
        <f>MOD(1281-1,101)</f>
        <v>68</v>
      </c>
    </row>
    <row r="1282">
      <c r="A1282">
        <f>MOD(1282-1,101)</f>
        <v>69</v>
      </c>
    </row>
    <row r="1283">
      <c r="A1283">
        <f>MOD(1283-1,101)</f>
        <v>70</v>
      </c>
    </row>
    <row r="1284">
      <c r="A1284">
        <f>MOD(1284-1,101)</f>
        <v>71</v>
      </c>
    </row>
    <row r="1285">
      <c r="A1285">
        <f>MOD(1285-1,101)</f>
        <v>72</v>
      </c>
    </row>
    <row r="1286">
      <c r="A1286">
        <f>MOD(1286-1,101)</f>
        <v>73</v>
      </c>
    </row>
    <row r="1287">
      <c r="A1287">
        <f>MOD(1287-1,101)</f>
        <v>74</v>
      </c>
    </row>
    <row r="1288">
      <c r="A1288">
        <f>MOD(1288-1,101)</f>
        <v>75</v>
      </c>
    </row>
    <row r="1289">
      <c r="A1289">
        <f>MOD(1289-1,101)</f>
        <v>76</v>
      </c>
    </row>
    <row r="1290">
      <c r="A1290">
        <f>MOD(1290-1,101)</f>
        <v>77</v>
      </c>
    </row>
    <row r="1291">
      <c r="A1291">
        <f>MOD(1291-1,101)</f>
        <v>78</v>
      </c>
    </row>
    <row r="1292">
      <c r="A1292">
        <f>MOD(1292-1,101)</f>
        <v>79</v>
      </c>
    </row>
    <row r="1293">
      <c r="A1293">
        <f>MOD(1293-1,101)</f>
        <v>80</v>
      </c>
    </row>
    <row r="1294">
      <c r="A1294">
        <f>MOD(1294-1,101)</f>
        <v>81</v>
      </c>
    </row>
    <row r="1295">
      <c r="A1295">
        <f>MOD(1295-1,101)</f>
        <v>82</v>
      </c>
    </row>
    <row r="1296">
      <c r="A1296">
        <f>MOD(1296-1,101)</f>
        <v>83</v>
      </c>
    </row>
    <row r="1297">
      <c r="A1297">
        <f>MOD(1297-1,101)</f>
        <v>84</v>
      </c>
    </row>
    <row r="1298">
      <c r="A1298">
        <f>MOD(1298-1,101)</f>
        <v>85</v>
      </c>
    </row>
    <row r="1299">
      <c r="A1299">
        <f>MOD(1299-1,101)</f>
        <v>86</v>
      </c>
    </row>
    <row r="1300">
      <c r="A1300">
        <f>MOD(1300-1,101)</f>
        <v>87</v>
      </c>
    </row>
    <row r="1301">
      <c r="A1301">
        <f>MOD(1301-1,101)</f>
        <v>88</v>
      </c>
    </row>
    <row r="1302">
      <c r="A1302">
        <f>MOD(1302-1,101)</f>
        <v>89</v>
      </c>
    </row>
    <row r="1303">
      <c r="A1303">
        <f>MOD(1303-1,101)</f>
        <v>90</v>
      </c>
    </row>
    <row r="1304">
      <c r="A1304">
        <f>MOD(1304-1,101)</f>
        <v>91</v>
      </c>
    </row>
    <row r="1305">
      <c r="A1305">
        <f>MOD(1305-1,101)</f>
        <v>92</v>
      </c>
    </row>
    <row r="1306">
      <c r="A1306">
        <f>MOD(1306-1,101)</f>
        <v>93</v>
      </c>
    </row>
    <row r="1307">
      <c r="A1307">
        <f>MOD(1307-1,101)</f>
        <v>94</v>
      </c>
    </row>
    <row r="1308">
      <c r="A1308">
        <f>MOD(1308-1,101)</f>
        <v>95</v>
      </c>
    </row>
    <row r="1309">
      <c r="A1309">
        <f>MOD(1309-1,101)</f>
        <v>96</v>
      </c>
    </row>
    <row r="1310">
      <c r="A1310">
        <f>MOD(1310-1,101)</f>
        <v>97</v>
      </c>
    </row>
    <row r="1311">
      <c r="A1311">
        <f>MOD(1311-1,101)</f>
        <v>98</v>
      </c>
    </row>
    <row r="1312">
      <c r="A1312">
        <f>MOD(1312-1,101)</f>
        <v>99</v>
      </c>
    </row>
    <row r="1313">
      <c r="A1313">
        <f>MOD(1313-1,101)</f>
        <v>100</v>
      </c>
    </row>
    <row r="1314">
      <c r="A1314">
        <f>MOD(1314-1,101)</f>
        <v>0</v>
      </c>
    </row>
    <row r="1315">
      <c r="A1315">
        <f>MOD(1315-1,101)</f>
        <v>1</v>
      </c>
    </row>
    <row r="1316">
      <c r="A1316">
        <f>MOD(1316-1,101)</f>
        <v>2</v>
      </c>
    </row>
    <row r="1317">
      <c r="A1317">
        <f>MOD(1317-1,101)</f>
        <v>3</v>
      </c>
    </row>
    <row r="1318">
      <c r="A1318">
        <f>MOD(1318-1,101)</f>
        <v>4</v>
      </c>
    </row>
    <row r="1319">
      <c r="A1319">
        <f>MOD(1319-1,101)</f>
        <v>5</v>
      </c>
    </row>
    <row r="1320">
      <c r="A1320">
        <f>MOD(1320-1,101)</f>
        <v>6</v>
      </c>
    </row>
    <row r="1321">
      <c r="A1321">
        <f>MOD(1321-1,101)</f>
        <v>7</v>
      </c>
    </row>
    <row r="1322">
      <c r="A1322">
        <f>MOD(1322-1,101)</f>
        <v>8</v>
      </c>
    </row>
    <row r="1323">
      <c r="A1323">
        <f>MOD(1323-1,101)</f>
        <v>9</v>
      </c>
    </row>
    <row r="1324">
      <c r="A1324">
        <f>MOD(1324-1,101)</f>
        <v>10</v>
      </c>
    </row>
    <row r="1325">
      <c r="A1325">
        <f>MOD(1325-1,101)</f>
        <v>11</v>
      </c>
    </row>
    <row r="1326">
      <c r="A1326">
        <f>MOD(1326-1,101)</f>
        <v>12</v>
      </c>
    </row>
    <row r="1327">
      <c r="A1327">
        <f>MOD(1327-1,101)</f>
        <v>13</v>
      </c>
    </row>
    <row r="1328">
      <c r="A1328">
        <f>MOD(1328-1,101)</f>
        <v>14</v>
      </c>
    </row>
    <row r="1329">
      <c r="A1329">
        <f>MOD(1329-1,101)</f>
        <v>15</v>
      </c>
    </row>
    <row r="1330">
      <c r="A1330">
        <f>MOD(1330-1,101)</f>
        <v>16</v>
      </c>
    </row>
    <row r="1331">
      <c r="A1331">
        <f>MOD(1331-1,101)</f>
        <v>17</v>
      </c>
    </row>
    <row r="1332">
      <c r="A1332">
        <f>MOD(1332-1,101)</f>
        <v>18</v>
      </c>
    </row>
    <row r="1333">
      <c r="A1333">
        <f>MOD(1333-1,101)</f>
        <v>19</v>
      </c>
    </row>
    <row r="1334">
      <c r="A1334">
        <f>MOD(1334-1,101)</f>
        <v>20</v>
      </c>
    </row>
    <row r="1335">
      <c r="A1335">
        <f>MOD(1335-1,101)</f>
        <v>21</v>
      </c>
    </row>
    <row r="1336">
      <c r="A1336">
        <f>MOD(1336-1,101)</f>
        <v>22</v>
      </c>
    </row>
    <row r="1337">
      <c r="A1337">
        <f>MOD(1337-1,101)</f>
        <v>23</v>
      </c>
    </row>
    <row r="1338">
      <c r="A1338">
        <f>MOD(1338-1,101)</f>
        <v>24</v>
      </c>
    </row>
    <row r="1339">
      <c r="A1339">
        <f>MOD(1339-1,101)</f>
        <v>25</v>
      </c>
    </row>
    <row r="1340">
      <c r="A1340">
        <f>MOD(1340-1,101)</f>
        <v>26</v>
      </c>
    </row>
    <row r="1341">
      <c r="A1341">
        <f>MOD(1341-1,101)</f>
        <v>27</v>
      </c>
    </row>
    <row r="1342">
      <c r="A1342">
        <f>MOD(1342-1,101)</f>
        <v>28</v>
      </c>
    </row>
    <row r="1343">
      <c r="A1343">
        <f>MOD(1343-1,101)</f>
        <v>29</v>
      </c>
    </row>
    <row r="1344">
      <c r="A1344">
        <f>MOD(1344-1,101)</f>
        <v>30</v>
      </c>
    </row>
    <row r="1345">
      <c r="A1345">
        <f>MOD(1345-1,101)</f>
        <v>31</v>
      </c>
    </row>
    <row r="1346">
      <c r="A1346">
        <f>MOD(1346-1,101)</f>
        <v>32</v>
      </c>
    </row>
    <row r="1347">
      <c r="A1347">
        <f>MOD(1347-1,101)</f>
        <v>33</v>
      </c>
    </row>
    <row r="1348">
      <c r="A1348">
        <f>MOD(1348-1,101)</f>
        <v>34</v>
      </c>
    </row>
    <row r="1349">
      <c r="A1349">
        <f>MOD(1349-1,101)</f>
        <v>35</v>
      </c>
    </row>
    <row r="1350">
      <c r="A1350">
        <f>MOD(1350-1,101)</f>
        <v>36</v>
      </c>
    </row>
    <row r="1351">
      <c r="A1351">
        <f>MOD(1351-1,101)</f>
        <v>37</v>
      </c>
    </row>
    <row r="1352">
      <c r="A1352">
        <f>MOD(1352-1,101)</f>
        <v>38</v>
      </c>
    </row>
    <row r="1353">
      <c r="A1353">
        <f>MOD(1353-1,101)</f>
        <v>39</v>
      </c>
    </row>
    <row r="1354">
      <c r="A1354">
        <f>MOD(1354-1,101)</f>
        <v>40</v>
      </c>
    </row>
    <row r="1355">
      <c r="A1355">
        <f>MOD(1355-1,101)</f>
        <v>41</v>
      </c>
    </row>
    <row r="1356">
      <c r="A1356">
        <f>MOD(1356-1,101)</f>
        <v>42</v>
      </c>
    </row>
    <row r="1357">
      <c r="A1357">
        <f>MOD(1357-1,101)</f>
        <v>43</v>
      </c>
    </row>
    <row r="1358">
      <c r="A1358">
        <f>MOD(1358-1,101)</f>
        <v>44</v>
      </c>
    </row>
    <row r="1359">
      <c r="A1359">
        <f>MOD(1359-1,101)</f>
        <v>45</v>
      </c>
    </row>
    <row r="1360">
      <c r="A1360">
        <f>MOD(1360-1,101)</f>
        <v>46</v>
      </c>
    </row>
    <row r="1361">
      <c r="A1361">
        <f>MOD(1361-1,101)</f>
        <v>47</v>
      </c>
    </row>
    <row r="1362">
      <c r="A1362">
        <f>MOD(1362-1,101)</f>
        <v>48</v>
      </c>
    </row>
    <row r="1363">
      <c r="A1363">
        <f>MOD(1363-1,101)</f>
        <v>49</v>
      </c>
    </row>
    <row r="1364">
      <c r="A1364">
        <f>MOD(1364-1,101)</f>
        <v>50</v>
      </c>
    </row>
    <row r="1365">
      <c r="A1365">
        <f>MOD(1365-1,101)</f>
        <v>51</v>
      </c>
    </row>
    <row r="1366">
      <c r="A1366">
        <f>MOD(1366-1,101)</f>
        <v>52</v>
      </c>
    </row>
    <row r="1367">
      <c r="A1367">
        <f>MOD(1367-1,101)</f>
        <v>53</v>
      </c>
    </row>
    <row r="1368">
      <c r="A1368">
        <f>MOD(1368-1,101)</f>
        <v>54</v>
      </c>
    </row>
    <row r="1369">
      <c r="A1369">
        <f>MOD(1369-1,101)</f>
        <v>55</v>
      </c>
    </row>
    <row r="1370">
      <c r="A1370">
        <f>MOD(1370-1,101)</f>
        <v>56</v>
      </c>
    </row>
    <row r="1371">
      <c r="A1371">
        <f>MOD(1371-1,101)</f>
        <v>57</v>
      </c>
    </row>
    <row r="1372">
      <c r="A1372">
        <f>MOD(1372-1,101)</f>
        <v>58</v>
      </c>
    </row>
    <row r="1373">
      <c r="A1373">
        <f>MOD(1373-1,101)</f>
        <v>59</v>
      </c>
    </row>
    <row r="1374">
      <c r="A1374">
        <f>MOD(1374-1,101)</f>
        <v>60</v>
      </c>
    </row>
    <row r="1375">
      <c r="A1375">
        <f>MOD(1375-1,101)</f>
        <v>61</v>
      </c>
    </row>
    <row r="1376">
      <c r="A1376">
        <f>MOD(1376-1,101)</f>
        <v>62</v>
      </c>
    </row>
    <row r="1377">
      <c r="A1377">
        <f>MOD(1377-1,101)</f>
        <v>63</v>
      </c>
    </row>
    <row r="1378">
      <c r="A1378">
        <f>MOD(1378-1,101)</f>
        <v>64</v>
      </c>
    </row>
    <row r="1379">
      <c r="A1379">
        <f>MOD(1379-1,101)</f>
        <v>65</v>
      </c>
    </row>
    <row r="1380">
      <c r="A1380">
        <f>MOD(1380-1,101)</f>
        <v>66</v>
      </c>
    </row>
    <row r="1381">
      <c r="A1381">
        <f>MOD(1381-1,101)</f>
        <v>67</v>
      </c>
    </row>
    <row r="1382">
      <c r="A1382">
        <f>MOD(1382-1,101)</f>
        <v>68</v>
      </c>
    </row>
    <row r="1383">
      <c r="A1383">
        <f>MOD(1383-1,101)</f>
        <v>69</v>
      </c>
    </row>
    <row r="1384">
      <c r="A1384">
        <f>MOD(1384-1,101)</f>
        <v>70</v>
      </c>
    </row>
    <row r="1385">
      <c r="A1385">
        <f>MOD(1385-1,101)</f>
        <v>71</v>
      </c>
    </row>
    <row r="1386">
      <c r="A1386">
        <f>MOD(1386-1,101)</f>
        <v>72</v>
      </c>
    </row>
    <row r="1387">
      <c r="A1387">
        <f>MOD(1387-1,101)</f>
        <v>73</v>
      </c>
    </row>
    <row r="1388">
      <c r="A1388">
        <f>MOD(1388-1,101)</f>
        <v>74</v>
      </c>
    </row>
    <row r="1389">
      <c r="A1389">
        <f>MOD(1389-1,101)</f>
        <v>75</v>
      </c>
    </row>
    <row r="1390">
      <c r="A1390">
        <f>MOD(1390-1,101)</f>
        <v>76</v>
      </c>
    </row>
    <row r="1391">
      <c r="A1391">
        <f>MOD(1391-1,101)</f>
        <v>77</v>
      </c>
    </row>
    <row r="1392">
      <c r="A1392">
        <f>MOD(1392-1,101)</f>
        <v>78</v>
      </c>
    </row>
    <row r="1393">
      <c r="A1393">
        <f>MOD(1393-1,101)</f>
        <v>79</v>
      </c>
    </row>
    <row r="1394">
      <c r="A1394">
        <f>MOD(1394-1,101)</f>
        <v>80</v>
      </c>
    </row>
    <row r="1395">
      <c r="A1395">
        <f>MOD(1395-1,101)</f>
        <v>81</v>
      </c>
    </row>
    <row r="1396">
      <c r="A1396">
        <f>MOD(1396-1,101)</f>
        <v>82</v>
      </c>
    </row>
    <row r="1397">
      <c r="A1397">
        <f>MOD(1397-1,101)</f>
        <v>83</v>
      </c>
    </row>
    <row r="1398">
      <c r="A1398">
        <f>MOD(1398-1,101)</f>
        <v>84</v>
      </c>
    </row>
    <row r="1399">
      <c r="A1399">
        <f>MOD(1399-1,101)</f>
        <v>85</v>
      </c>
    </row>
    <row r="1400">
      <c r="A1400">
        <f>MOD(1400-1,101)</f>
        <v>86</v>
      </c>
    </row>
    <row r="1401">
      <c r="A1401">
        <f>MOD(1401-1,101)</f>
        <v>87</v>
      </c>
    </row>
    <row r="1402">
      <c r="A1402">
        <f>MOD(1402-1,101)</f>
        <v>88</v>
      </c>
    </row>
    <row r="1403">
      <c r="A1403">
        <f>MOD(1403-1,101)</f>
        <v>89</v>
      </c>
    </row>
    <row r="1404">
      <c r="A1404">
        <f>MOD(1404-1,101)</f>
        <v>90</v>
      </c>
    </row>
    <row r="1405">
      <c r="A1405">
        <f>MOD(1405-1,101)</f>
        <v>91</v>
      </c>
    </row>
    <row r="1406">
      <c r="A1406">
        <f>MOD(1406-1,101)</f>
        <v>92</v>
      </c>
    </row>
    <row r="1407">
      <c r="A1407">
        <f>MOD(1407-1,101)</f>
        <v>93</v>
      </c>
    </row>
    <row r="1408">
      <c r="A1408">
        <f>MOD(1408-1,101)</f>
        <v>94</v>
      </c>
    </row>
    <row r="1409">
      <c r="A1409">
        <f>MOD(1409-1,101)</f>
        <v>95</v>
      </c>
    </row>
    <row r="1410">
      <c r="A1410">
        <f>MOD(1410-1,101)</f>
        <v>96</v>
      </c>
    </row>
    <row r="1411">
      <c r="A1411">
        <f>MOD(1411-1,101)</f>
        <v>97</v>
      </c>
    </row>
    <row r="1412">
      <c r="A1412">
        <f>MOD(1412-1,101)</f>
        <v>98</v>
      </c>
    </row>
    <row r="1413">
      <c r="A1413">
        <f>MOD(1413-1,101)</f>
        <v>99</v>
      </c>
    </row>
    <row r="1414">
      <c r="A1414">
        <f>MOD(1414-1,101)</f>
        <v>100</v>
      </c>
    </row>
    <row r="1415">
      <c r="A1415">
        <f>MOD(1415-1,101)</f>
        <v>0</v>
      </c>
    </row>
    <row r="1416">
      <c r="A1416">
        <f>MOD(1416-1,101)</f>
        <v>1</v>
      </c>
    </row>
    <row r="1417">
      <c r="A1417">
        <f>MOD(1417-1,101)</f>
        <v>2</v>
      </c>
    </row>
    <row r="1418">
      <c r="A1418">
        <f>MOD(1418-1,101)</f>
        <v>3</v>
      </c>
    </row>
    <row r="1419">
      <c r="A1419">
        <f>MOD(1419-1,101)</f>
        <v>4</v>
      </c>
    </row>
    <row r="1420">
      <c r="A1420">
        <f>MOD(1420-1,101)</f>
        <v>5</v>
      </c>
    </row>
    <row r="1421">
      <c r="A1421">
        <f>MOD(1421-1,101)</f>
        <v>6</v>
      </c>
    </row>
    <row r="1422">
      <c r="A1422">
        <f>MOD(1422-1,101)</f>
        <v>7</v>
      </c>
    </row>
    <row r="1423">
      <c r="A1423">
        <f>MOD(1423-1,101)</f>
        <v>8</v>
      </c>
    </row>
    <row r="1424">
      <c r="A1424">
        <f>MOD(1424-1,101)</f>
        <v>9</v>
      </c>
    </row>
    <row r="1425">
      <c r="A1425">
        <f>MOD(1425-1,101)</f>
        <v>10</v>
      </c>
    </row>
    <row r="1426">
      <c r="A1426">
        <f>MOD(1426-1,101)</f>
        <v>11</v>
      </c>
    </row>
    <row r="1427">
      <c r="A1427">
        <f>MOD(1427-1,101)</f>
        <v>12</v>
      </c>
    </row>
    <row r="1428">
      <c r="A1428">
        <f>MOD(1428-1,101)</f>
        <v>13</v>
      </c>
    </row>
    <row r="1429">
      <c r="A1429">
        <f>MOD(1429-1,101)</f>
        <v>14</v>
      </c>
    </row>
    <row r="1430">
      <c r="A1430">
        <f>MOD(1430-1,101)</f>
        <v>15</v>
      </c>
    </row>
    <row r="1431">
      <c r="A1431">
        <f>MOD(1431-1,101)</f>
        <v>16</v>
      </c>
    </row>
    <row r="1432">
      <c r="A1432">
        <f>MOD(1432-1,101)</f>
        <v>17</v>
      </c>
    </row>
    <row r="1433">
      <c r="A1433">
        <f>MOD(1433-1,101)</f>
        <v>18</v>
      </c>
    </row>
    <row r="1434">
      <c r="A1434">
        <f>MOD(1434-1,101)</f>
        <v>19</v>
      </c>
    </row>
    <row r="1435">
      <c r="A1435">
        <f>MOD(1435-1,101)</f>
        <v>20</v>
      </c>
    </row>
    <row r="1436">
      <c r="A1436">
        <f>MOD(1436-1,101)</f>
        <v>21</v>
      </c>
    </row>
    <row r="1437">
      <c r="A1437">
        <f>MOD(1437-1,101)</f>
        <v>22</v>
      </c>
    </row>
    <row r="1438">
      <c r="A1438">
        <f>MOD(1438-1,101)</f>
        <v>23</v>
      </c>
    </row>
    <row r="1439">
      <c r="A1439">
        <f>MOD(1439-1,101)</f>
        <v>24</v>
      </c>
    </row>
    <row r="1440">
      <c r="A1440">
        <f>MOD(1440-1,101)</f>
        <v>25</v>
      </c>
    </row>
    <row r="1441">
      <c r="A1441">
        <f>MOD(1441-1,101)</f>
        <v>26</v>
      </c>
    </row>
    <row r="1442">
      <c r="A1442">
        <f>MOD(1442-1,101)</f>
        <v>27</v>
      </c>
    </row>
    <row r="1443">
      <c r="A1443">
        <f>MOD(1443-1,101)</f>
        <v>28</v>
      </c>
    </row>
    <row r="1444">
      <c r="A1444">
        <f>MOD(1444-1,101)</f>
        <v>29</v>
      </c>
    </row>
    <row r="1445">
      <c r="A1445">
        <f>MOD(1445-1,101)</f>
        <v>30</v>
      </c>
    </row>
    <row r="1446">
      <c r="A1446">
        <f>MOD(1446-1,101)</f>
        <v>31</v>
      </c>
    </row>
    <row r="1447">
      <c r="A1447">
        <f>MOD(1447-1,101)</f>
        <v>32</v>
      </c>
    </row>
    <row r="1448">
      <c r="A1448">
        <f>MOD(1448-1,101)</f>
        <v>33</v>
      </c>
    </row>
    <row r="1449">
      <c r="A1449">
        <f>MOD(1449-1,101)</f>
        <v>34</v>
      </c>
    </row>
    <row r="1450">
      <c r="A1450">
        <f>MOD(1450-1,101)</f>
        <v>35</v>
      </c>
    </row>
    <row r="1451">
      <c r="A1451">
        <f>MOD(1451-1,101)</f>
        <v>36</v>
      </c>
    </row>
    <row r="1452">
      <c r="A1452">
        <f>MOD(1452-1,101)</f>
        <v>37</v>
      </c>
    </row>
    <row r="1453">
      <c r="A1453">
        <f>MOD(1453-1,101)</f>
        <v>38</v>
      </c>
    </row>
    <row r="1454">
      <c r="A1454">
        <f>MOD(1454-1,101)</f>
        <v>39</v>
      </c>
    </row>
    <row r="1455">
      <c r="A1455">
        <f>MOD(1455-1,101)</f>
        <v>40</v>
      </c>
    </row>
    <row r="1456">
      <c r="A1456">
        <f>MOD(1456-1,101)</f>
        <v>41</v>
      </c>
    </row>
    <row r="1457">
      <c r="A1457">
        <f>MOD(1457-1,101)</f>
        <v>42</v>
      </c>
    </row>
    <row r="1458">
      <c r="A1458">
        <f>MOD(1458-1,101)</f>
        <v>43</v>
      </c>
    </row>
    <row r="1459">
      <c r="A1459">
        <f>MOD(1459-1,101)</f>
        <v>44</v>
      </c>
    </row>
    <row r="1460">
      <c r="A1460">
        <f>MOD(1460-1,101)</f>
        <v>45</v>
      </c>
    </row>
    <row r="1461">
      <c r="A1461">
        <f>MOD(1461-1,101)</f>
        <v>46</v>
      </c>
    </row>
    <row r="1462">
      <c r="A1462">
        <f>MOD(1462-1,101)</f>
        <v>47</v>
      </c>
    </row>
    <row r="1463">
      <c r="A1463">
        <f>MOD(1463-1,101)</f>
        <v>48</v>
      </c>
    </row>
    <row r="1464">
      <c r="A1464">
        <f>MOD(1464-1,101)</f>
        <v>49</v>
      </c>
    </row>
    <row r="1465">
      <c r="A1465">
        <f>MOD(1465-1,101)</f>
        <v>50</v>
      </c>
    </row>
    <row r="1466">
      <c r="A1466">
        <f>MOD(1466-1,101)</f>
        <v>51</v>
      </c>
    </row>
    <row r="1467">
      <c r="A1467">
        <f>MOD(1467-1,101)</f>
        <v>52</v>
      </c>
    </row>
    <row r="1468">
      <c r="A1468">
        <f>MOD(1468-1,101)</f>
        <v>53</v>
      </c>
    </row>
    <row r="1469">
      <c r="A1469">
        <f>MOD(1469-1,101)</f>
        <v>54</v>
      </c>
    </row>
    <row r="1470">
      <c r="A1470">
        <f>MOD(1470-1,101)</f>
        <v>55</v>
      </c>
    </row>
    <row r="1471">
      <c r="A1471">
        <f>MOD(1471-1,101)</f>
        <v>56</v>
      </c>
    </row>
    <row r="1472">
      <c r="A1472">
        <f>MOD(1472-1,101)</f>
        <v>57</v>
      </c>
    </row>
    <row r="1473">
      <c r="A1473">
        <f>MOD(1473-1,101)</f>
        <v>58</v>
      </c>
    </row>
    <row r="1474">
      <c r="A1474">
        <f>MOD(1474-1,101)</f>
        <v>59</v>
      </c>
    </row>
    <row r="1475">
      <c r="A1475">
        <f>MOD(1475-1,101)</f>
        <v>60</v>
      </c>
    </row>
    <row r="1476">
      <c r="A1476">
        <f>MOD(1476-1,101)</f>
        <v>61</v>
      </c>
    </row>
    <row r="1477">
      <c r="A1477">
        <f>MOD(1477-1,101)</f>
        <v>62</v>
      </c>
    </row>
    <row r="1478">
      <c r="A1478">
        <f>MOD(1478-1,101)</f>
        <v>63</v>
      </c>
    </row>
    <row r="1479">
      <c r="A1479">
        <f>MOD(1479-1,101)</f>
        <v>64</v>
      </c>
    </row>
    <row r="1480">
      <c r="A1480">
        <f>MOD(1480-1,101)</f>
        <v>65</v>
      </c>
    </row>
    <row r="1481">
      <c r="A1481">
        <f>MOD(1481-1,101)</f>
        <v>66</v>
      </c>
    </row>
    <row r="1482">
      <c r="A1482">
        <f>MOD(1482-1,101)</f>
        <v>67</v>
      </c>
    </row>
    <row r="1483">
      <c r="A1483">
        <f>MOD(1483-1,101)</f>
        <v>68</v>
      </c>
    </row>
    <row r="1484">
      <c r="A1484">
        <f>MOD(1484-1,101)</f>
        <v>69</v>
      </c>
    </row>
    <row r="1485">
      <c r="A1485">
        <f>MOD(1485-1,101)</f>
        <v>70</v>
      </c>
    </row>
    <row r="1486">
      <c r="A1486">
        <f>MOD(1486-1,101)</f>
        <v>71</v>
      </c>
    </row>
    <row r="1487">
      <c r="A1487">
        <f>MOD(1487-1,101)</f>
        <v>72</v>
      </c>
    </row>
    <row r="1488">
      <c r="A1488">
        <f>MOD(1488-1,101)</f>
        <v>73</v>
      </c>
    </row>
    <row r="1489">
      <c r="A1489">
        <f>MOD(1489-1,101)</f>
        <v>74</v>
      </c>
    </row>
    <row r="1490">
      <c r="A1490">
        <f>MOD(1490-1,101)</f>
        <v>75</v>
      </c>
    </row>
    <row r="1491">
      <c r="A1491">
        <f>MOD(1491-1,101)</f>
        <v>76</v>
      </c>
    </row>
    <row r="1492">
      <c r="A1492">
        <f>MOD(1492-1,101)</f>
        <v>77</v>
      </c>
    </row>
    <row r="1493">
      <c r="A1493">
        <f>MOD(1493-1,101)</f>
        <v>78</v>
      </c>
    </row>
    <row r="1494">
      <c r="A1494">
        <f>MOD(1494-1,101)</f>
        <v>79</v>
      </c>
    </row>
    <row r="1495">
      <c r="A1495">
        <f>MOD(1495-1,101)</f>
        <v>80</v>
      </c>
    </row>
    <row r="1496">
      <c r="A1496">
        <f>MOD(1496-1,101)</f>
        <v>81</v>
      </c>
    </row>
    <row r="1497">
      <c r="A1497">
        <f>MOD(1497-1,101)</f>
        <v>82</v>
      </c>
    </row>
    <row r="1498">
      <c r="A1498">
        <f>MOD(1498-1,101)</f>
        <v>83</v>
      </c>
    </row>
    <row r="1499">
      <c r="A1499">
        <f>MOD(1499-1,101)</f>
        <v>84</v>
      </c>
    </row>
    <row r="1500">
      <c r="A1500">
        <f>MOD(1500-1,101)</f>
        <v>85</v>
      </c>
    </row>
    <row r="1501">
      <c r="A1501">
        <f>MOD(1501-1,101)</f>
        <v>86</v>
      </c>
    </row>
    <row r="1502">
      <c r="A1502">
        <f>MOD(1502-1,101)</f>
        <v>87</v>
      </c>
    </row>
    <row r="1503">
      <c r="A1503">
        <f>MOD(1503-1,101)</f>
        <v>88</v>
      </c>
    </row>
    <row r="1504">
      <c r="A1504">
        <f>MOD(1504-1,101)</f>
        <v>89</v>
      </c>
    </row>
    <row r="1505">
      <c r="A1505">
        <f>MOD(1505-1,101)</f>
        <v>90</v>
      </c>
    </row>
    <row r="1506">
      <c r="A1506">
        <f>MOD(1506-1,101)</f>
        <v>91</v>
      </c>
    </row>
    <row r="1507">
      <c r="A1507">
        <f>MOD(1507-1,101)</f>
        <v>92</v>
      </c>
    </row>
    <row r="1508">
      <c r="A1508">
        <f>MOD(1508-1,101)</f>
        <v>93</v>
      </c>
    </row>
    <row r="1509">
      <c r="A1509">
        <f>MOD(1509-1,101)</f>
        <v>94</v>
      </c>
    </row>
    <row r="1510">
      <c r="A1510">
        <f>MOD(1510-1,101)</f>
        <v>95</v>
      </c>
    </row>
    <row r="1511">
      <c r="A1511">
        <f>MOD(1511-1,101)</f>
        <v>96</v>
      </c>
    </row>
    <row r="1512">
      <c r="A1512">
        <f>MOD(1512-1,101)</f>
        <v>97</v>
      </c>
    </row>
    <row r="1513">
      <c r="A1513">
        <f>MOD(1513-1,101)</f>
        <v>98</v>
      </c>
    </row>
    <row r="1514">
      <c r="A1514">
        <f>MOD(1514-1,101)</f>
        <v>99</v>
      </c>
    </row>
    <row r="1515">
      <c r="A1515">
        <f>MOD(1515-1,101)</f>
        <v>100</v>
      </c>
    </row>
    <row r="1516">
      <c r="A1516">
        <f>MOD(1516-1,101)</f>
        <v>0</v>
      </c>
    </row>
    <row r="1517">
      <c r="A1517">
        <f>MOD(1517-1,101)</f>
        <v>1</v>
      </c>
    </row>
    <row r="1518">
      <c r="A1518">
        <f>MOD(1518-1,101)</f>
        <v>2</v>
      </c>
    </row>
    <row r="1519">
      <c r="A1519">
        <f>MOD(1519-1,101)</f>
        <v>3</v>
      </c>
    </row>
    <row r="1520">
      <c r="A1520">
        <f>MOD(1520-1,101)</f>
        <v>4</v>
      </c>
    </row>
    <row r="1521">
      <c r="A1521">
        <f>MOD(1521-1,101)</f>
        <v>5</v>
      </c>
    </row>
    <row r="1522">
      <c r="A1522">
        <f>MOD(1522-1,101)</f>
        <v>6</v>
      </c>
    </row>
    <row r="1523">
      <c r="A1523">
        <f>MOD(1523-1,101)</f>
        <v>7</v>
      </c>
    </row>
    <row r="1524">
      <c r="A1524">
        <f>MOD(1524-1,101)</f>
        <v>8</v>
      </c>
    </row>
    <row r="1525">
      <c r="A1525">
        <f>MOD(1525-1,101)</f>
        <v>9</v>
      </c>
    </row>
    <row r="1526">
      <c r="A1526">
        <f>MOD(1526-1,101)</f>
        <v>10</v>
      </c>
    </row>
    <row r="1527">
      <c r="A1527">
        <f>MOD(1527-1,101)</f>
        <v>11</v>
      </c>
    </row>
    <row r="1528">
      <c r="A1528">
        <f>MOD(1528-1,101)</f>
        <v>12</v>
      </c>
    </row>
    <row r="1529">
      <c r="A1529">
        <f>MOD(1529-1,101)</f>
        <v>13</v>
      </c>
    </row>
    <row r="1530">
      <c r="A1530">
        <f>MOD(1530-1,101)</f>
        <v>14</v>
      </c>
    </row>
    <row r="1531">
      <c r="A1531">
        <f>MOD(1531-1,101)</f>
        <v>15</v>
      </c>
    </row>
    <row r="1532">
      <c r="A1532">
        <f>MOD(1532-1,101)</f>
        <v>16</v>
      </c>
    </row>
    <row r="1533">
      <c r="A1533">
        <f>MOD(1533-1,101)</f>
        <v>17</v>
      </c>
    </row>
    <row r="1534">
      <c r="A1534">
        <f>MOD(1534-1,101)</f>
        <v>18</v>
      </c>
    </row>
    <row r="1535">
      <c r="A1535">
        <f>MOD(1535-1,101)</f>
        <v>19</v>
      </c>
    </row>
    <row r="1536">
      <c r="A1536">
        <f>MOD(1536-1,101)</f>
        <v>20</v>
      </c>
    </row>
    <row r="1537">
      <c r="A1537">
        <f>MOD(1537-1,101)</f>
        <v>21</v>
      </c>
    </row>
    <row r="1538">
      <c r="A1538">
        <f>MOD(1538-1,101)</f>
        <v>22</v>
      </c>
    </row>
    <row r="1539">
      <c r="A1539">
        <f>MOD(1539-1,101)</f>
        <v>23</v>
      </c>
    </row>
    <row r="1540">
      <c r="A1540">
        <f>MOD(1540-1,101)</f>
        <v>24</v>
      </c>
    </row>
    <row r="1541">
      <c r="A1541">
        <f>MOD(1541-1,101)</f>
        <v>25</v>
      </c>
    </row>
    <row r="1542">
      <c r="A1542">
        <f>MOD(1542-1,101)</f>
        <v>26</v>
      </c>
    </row>
    <row r="1543">
      <c r="A1543">
        <f>MOD(1543-1,101)</f>
        <v>27</v>
      </c>
    </row>
    <row r="1544">
      <c r="A1544">
        <f>MOD(1544-1,101)</f>
        <v>28</v>
      </c>
    </row>
    <row r="1545">
      <c r="A1545">
        <f>MOD(1545-1,101)</f>
        <v>29</v>
      </c>
    </row>
    <row r="1546">
      <c r="A1546">
        <f>MOD(1546-1,101)</f>
        <v>30</v>
      </c>
    </row>
    <row r="1547">
      <c r="A1547">
        <f>MOD(1547-1,101)</f>
        <v>31</v>
      </c>
    </row>
    <row r="1548">
      <c r="A1548">
        <f>MOD(1548-1,101)</f>
        <v>32</v>
      </c>
    </row>
    <row r="1549">
      <c r="A1549">
        <f>MOD(1549-1,101)</f>
        <v>33</v>
      </c>
    </row>
    <row r="1550">
      <c r="A1550">
        <f>MOD(1550-1,101)</f>
        <v>34</v>
      </c>
    </row>
    <row r="1551">
      <c r="A1551">
        <f>MOD(1551-1,101)</f>
        <v>35</v>
      </c>
    </row>
    <row r="1552">
      <c r="A1552">
        <f>MOD(1552-1,101)</f>
        <v>36</v>
      </c>
    </row>
    <row r="1553">
      <c r="A1553">
        <f>MOD(1553-1,101)</f>
        <v>37</v>
      </c>
    </row>
    <row r="1554">
      <c r="A1554">
        <f>MOD(1554-1,101)</f>
        <v>38</v>
      </c>
    </row>
    <row r="1555">
      <c r="A1555">
        <f>MOD(1555-1,101)</f>
        <v>39</v>
      </c>
    </row>
    <row r="1556">
      <c r="A1556">
        <f>MOD(1556-1,101)</f>
        <v>40</v>
      </c>
    </row>
    <row r="1557">
      <c r="A1557">
        <f>MOD(1557-1,101)</f>
        <v>41</v>
      </c>
    </row>
    <row r="1558">
      <c r="A1558">
        <f>MOD(1558-1,101)</f>
        <v>42</v>
      </c>
    </row>
    <row r="1559">
      <c r="A1559">
        <f>MOD(1559-1,101)</f>
        <v>43</v>
      </c>
    </row>
    <row r="1560">
      <c r="A1560">
        <f>MOD(1560-1,101)</f>
        <v>44</v>
      </c>
    </row>
    <row r="1561">
      <c r="A1561">
        <f>MOD(1561-1,101)</f>
        <v>45</v>
      </c>
    </row>
    <row r="1562">
      <c r="A1562">
        <f>MOD(1562-1,101)</f>
        <v>46</v>
      </c>
    </row>
    <row r="1563">
      <c r="A1563">
        <f>MOD(1563-1,101)</f>
        <v>47</v>
      </c>
    </row>
    <row r="1564">
      <c r="A1564">
        <f>MOD(1564-1,101)</f>
        <v>48</v>
      </c>
    </row>
    <row r="1565">
      <c r="A1565">
        <f>MOD(1565-1,101)</f>
        <v>49</v>
      </c>
    </row>
    <row r="1566">
      <c r="A1566">
        <f>MOD(1566-1,101)</f>
        <v>50</v>
      </c>
    </row>
    <row r="1567">
      <c r="A1567">
        <f>MOD(1567-1,101)</f>
        <v>51</v>
      </c>
    </row>
    <row r="1568">
      <c r="A1568">
        <f>MOD(1568-1,101)</f>
        <v>52</v>
      </c>
    </row>
    <row r="1569">
      <c r="A1569">
        <f>MOD(1569-1,101)</f>
        <v>53</v>
      </c>
    </row>
    <row r="1570">
      <c r="A1570">
        <f>MOD(1570-1,101)</f>
        <v>54</v>
      </c>
    </row>
    <row r="1571">
      <c r="A1571">
        <f>MOD(1571-1,101)</f>
        <v>55</v>
      </c>
    </row>
    <row r="1572">
      <c r="A1572">
        <f>MOD(1572-1,101)</f>
        <v>56</v>
      </c>
    </row>
    <row r="1573">
      <c r="A1573">
        <f>MOD(1573-1,101)</f>
        <v>57</v>
      </c>
    </row>
    <row r="1574">
      <c r="A1574">
        <f>MOD(1574-1,101)</f>
        <v>58</v>
      </c>
    </row>
    <row r="1575">
      <c r="A1575">
        <f>MOD(1575-1,101)</f>
        <v>59</v>
      </c>
    </row>
    <row r="1576">
      <c r="A1576">
        <f>MOD(1576-1,101)</f>
        <v>60</v>
      </c>
    </row>
    <row r="1577">
      <c r="A1577">
        <f>MOD(1577-1,101)</f>
        <v>61</v>
      </c>
    </row>
    <row r="1578">
      <c r="A1578">
        <f>MOD(1578-1,101)</f>
        <v>62</v>
      </c>
    </row>
    <row r="1579">
      <c r="A1579">
        <f>MOD(1579-1,101)</f>
        <v>63</v>
      </c>
    </row>
    <row r="1580">
      <c r="A1580">
        <f>MOD(1580-1,101)</f>
        <v>64</v>
      </c>
    </row>
    <row r="1581">
      <c r="A1581">
        <f>MOD(1581-1,101)</f>
        <v>65</v>
      </c>
    </row>
    <row r="1582">
      <c r="A1582">
        <f>MOD(1582-1,101)</f>
        <v>66</v>
      </c>
    </row>
    <row r="1583">
      <c r="A1583">
        <f>MOD(1583-1,101)</f>
        <v>67</v>
      </c>
    </row>
    <row r="1584">
      <c r="A1584">
        <f>MOD(1584-1,101)</f>
        <v>68</v>
      </c>
    </row>
    <row r="1585">
      <c r="A1585">
        <f>MOD(1585-1,101)</f>
        <v>69</v>
      </c>
    </row>
    <row r="1586">
      <c r="A1586">
        <f>MOD(1586-1,101)</f>
        <v>70</v>
      </c>
    </row>
    <row r="1587">
      <c r="A1587">
        <f>MOD(1587-1,101)</f>
        <v>71</v>
      </c>
    </row>
    <row r="1588">
      <c r="A1588">
        <f>MOD(1588-1,101)</f>
        <v>72</v>
      </c>
    </row>
    <row r="1589">
      <c r="A1589">
        <f>MOD(1589-1,101)</f>
        <v>73</v>
      </c>
    </row>
    <row r="1590">
      <c r="A1590">
        <f>MOD(1590-1,101)</f>
        <v>74</v>
      </c>
    </row>
    <row r="1591">
      <c r="A1591">
        <f>MOD(1591-1,101)</f>
        <v>75</v>
      </c>
    </row>
    <row r="1592">
      <c r="A1592">
        <f>MOD(1592-1,101)</f>
        <v>76</v>
      </c>
    </row>
    <row r="1593">
      <c r="A1593">
        <f>MOD(1593-1,101)</f>
        <v>77</v>
      </c>
    </row>
    <row r="1594">
      <c r="A1594">
        <f>MOD(1594-1,101)</f>
        <v>78</v>
      </c>
    </row>
    <row r="1595">
      <c r="A1595">
        <f>MOD(1595-1,101)</f>
        <v>79</v>
      </c>
    </row>
    <row r="1596">
      <c r="A1596">
        <f>MOD(1596-1,101)</f>
        <v>80</v>
      </c>
    </row>
    <row r="1597">
      <c r="A1597">
        <f>MOD(1597-1,101)</f>
        <v>81</v>
      </c>
    </row>
    <row r="1598">
      <c r="A1598">
        <f>MOD(1598-1,101)</f>
        <v>82</v>
      </c>
    </row>
    <row r="1599">
      <c r="A1599">
        <f>MOD(1599-1,101)</f>
        <v>83</v>
      </c>
    </row>
    <row r="1600">
      <c r="A1600">
        <f>MOD(1600-1,101)</f>
        <v>84</v>
      </c>
    </row>
    <row r="1601">
      <c r="A1601">
        <f>MOD(1601-1,101)</f>
        <v>85</v>
      </c>
    </row>
    <row r="1602">
      <c r="A1602">
        <f>MOD(1602-1,101)</f>
        <v>86</v>
      </c>
    </row>
    <row r="1603">
      <c r="A1603">
        <f>MOD(1603-1,101)</f>
        <v>87</v>
      </c>
    </row>
    <row r="1604">
      <c r="A1604">
        <f>MOD(1604-1,101)</f>
        <v>88</v>
      </c>
    </row>
    <row r="1605">
      <c r="A1605">
        <f>MOD(1605-1,101)</f>
        <v>89</v>
      </c>
    </row>
    <row r="1606">
      <c r="A1606">
        <f>MOD(1606-1,101)</f>
        <v>90</v>
      </c>
    </row>
    <row r="1607">
      <c r="A1607">
        <f>MOD(1607-1,101)</f>
        <v>91</v>
      </c>
    </row>
    <row r="1608">
      <c r="A1608">
        <f>MOD(1608-1,101)</f>
        <v>92</v>
      </c>
    </row>
    <row r="1609">
      <c r="A1609">
        <f>MOD(1609-1,101)</f>
        <v>93</v>
      </c>
    </row>
    <row r="1610">
      <c r="A1610">
        <f>MOD(1610-1,101)</f>
        <v>94</v>
      </c>
    </row>
    <row r="1611">
      <c r="A1611">
        <f>MOD(1611-1,101)</f>
        <v>95</v>
      </c>
    </row>
    <row r="1612">
      <c r="A1612">
        <f>MOD(1612-1,101)</f>
        <v>96</v>
      </c>
    </row>
    <row r="1613">
      <c r="A1613">
        <f>MOD(1613-1,101)</f>
        <v>97</v>
      </c>
    </row>
    <row r="1614">
      <c r="A1614">
        <f>MOD(1614-1,101)</f>
        <v>98</v>
      </c>
    </row>
    <row r="1615">
      <c r="A1615">
        <f>MOD(1615-1,101)</f>
        <v>99</v>
      </c>
    </row>
    <row r="1616">
      <c r="A1616">
        <f>MOD(1616-1,101)</f>
        <v>100</v>
      </c>
    </row>
    <row r="1617">
      <c r="A1617">
        <f>MOD(1617-1,101)</f>
        <v>0</v>
      </c>
    </row>
    <row r="1618">
      <c r="A1618">
        <f>MOD(1618-1,101)</f>
        <v>1</v>
      </c>
    </row>
    <row r="1619">
      <c r="A1619">
        <f>MOD(1619-1,101)</f>
        <v>2</v>
      </c>
    </row>
    <row r="1620">
      <c r="A1620">
        <f>MOD(1620-1,101)</f>
        <v>3</v>
      </c>
    </row>
    <row r="1621">
      <c r="A1621">
        <f>MOD(1621-1,101)</f>
        <v>4</v>
      </c>
    </row>
    <row r="1622">
      <c r="A1622">
        <f>MOD(1622-1,101)</f>
        <v>5</v>
      </c>
    </row>
    <row r="1623">
      <c r="A1623">
        <f>MOD(1623-1,101)</f>
        <v>6</v>
      </c>
    </row>
    <row r="1624">
      <c r="A1624">
        <f>MOD(1624-1,101)</f>
        <v>7</v>
      </c>
    </row>
    <row r="1625">
      <c r="A1625">
        <f>MOD(1625-1,101)</f>
        <v>8</v>
      </c>
    </row>
    <row r="1626">
      <c r="A1626">
        <f>MOD(1626-1,101)</f>
        <v>9</v>
      </c>
    </row>
    <row r="1627">
      <c r="A1627">
        <f>MOD(1627-1,101)</f>
        <v>10</v>
      </c>
    </row>
    <row r="1628">
      <c r="A1628">
        <f>MOD(1628-1,101)</f>
        <v>11</v>
      </c>
    </row>
    <row r="1629">
      <c r="A1629">
        <f>MOD(1629-1,101)</f>
        <v>12</v>
      </c>
    </row>
    <row r="1630">
      <c r="A1630">
        <f>MOD(1630-1,101)</f>
        <v>13</v>
      </c>
    </row>
    <row r="1631">
      <c r="A1631">
        <f>MOD(1631-1,101)</f>
        <v>14</v>
      </c>
    </row>
    <row r="1632">
      <c r="A1632">
        <f>MOD(1632-1,101)</f>
        <v>15</v>
      </c>
    </row>
    <row r="1633">
      <c r="A1633">
        <f>MOD(1633-1,101)</f>
        <v>16</v>
      </c>
    </row>
    <row r="1634">
      <c r="A1634">
        <f>MOD(1634-1,101)</f>
        <v>17</v>
      </c>
    </row>
    <row r="1635">
      <c r="A1635">
        <f>MOD(1635-1,101)</f>
        <v>18</v>
      </c>
    </row>
    <row r="1636">
      <c r="A1636">
        <f>MOD(1636-1,101)</f>
        <v>19</v>
      </c>
    </row>
    <row r="1637">
      <c r="A1637">
        <f>MOD(1637-1,101)</f>
        <v>20</v>
      </c>
    </row>
    <row r="1638">
      <c r="A1638">
        <f>MOD(1638-1,101)</f>
        <v>21</v>
      </c>
    </row>
    <row r="1639">
      <c r="A1639">
        <f>MOD(1639-1,101)</f>
        <v>22</v>
      </c>
    </row>
    <row r="1640">
      <c r="A1640">
        <f>MOD(1640-1,101)</f>
        <v>23</v>
      </c>
    </row>
    <row r="1641">
      <c r="A1641">
        <f>MOD(1641-1,101)</f>
        <v>24</v>
      </c>
    </row>
    <row r="1642">
      <c r="A1642">
        <f>MOD(1642-1,101)</f>
        <v>25</v>
      </c>
    </row>
    <row r="1643">
      <c r="A1643">
        <f>MOD(1643-1,101)</f>
        <v>26</v>
      </c>
    </row>
    <row r="1644">
      <c r="A1644">
        <f>MOD(1644-1,101)</f>
        <v>27</v>
      </c>
    </row>
    <row r="1645">
      <c r="A1645">
        <f>MOD(1645-1,101)</f>
        <v>28</v>
      </c>
    </row>
    <row r="1646">
      <c r="A1646">
        <f>MOD(1646-1,101)</f>
        <v>29</v>
      </c>
    </row>
    <row r="1647">
      <c r="A1647">
        <f>MOD(1647-1,101)</f>
        <v>30</v>
      </c>
    </row>
    <row r="1648">
      <c r="A1648">
        <f>MOD(1648-1,101)</f>
        <v>31</v>
      </c>
    </row>
    <row r="1649">
      <c r="A1649">
        <f>MOD(1649-1,101)</f>
        <v>32</v>
      </c>
    </row>
    <row r="1650">
      <c r="A1650">
        <f>MOD(1650-1,101)</f>
        <v>33</v>
      </c>
    </row>
    <row r="1651">
      <c r="A1651">
        <f>MOD(1651-1,101)</f>
        <v>34</v>
      </c>
    </row>
    <row r="1652">
      <c r="A1652">
        <f>MOD(1652-1,101)</f>
        <v>35</v>
      </c>
    </row>
    <row r="1653">
      <c r="A1653">
        <f>MOD(1653-1,101)</f>
        <v>36</v>
      </c>
    </row>
    <row r="1654">
      <c r="A1654">
        <f>MOD(1654-1,101)</f>
        <v>37</v>
      </c>
    </row>
    <row r="1655">
      <c r="A1655">
        <f>MOD(1655-1,101)</f>
        <v>38</v>
      </c>
    </row>
    <row r="1656">
      <c r="A1656">
        <f>MOD(1656-1,101)</f>
        <v>39</v>
      </c>
    </row>
    <row r="1657">
      <c r="A1657">
        <f>MOD(1657-1,101)</f>
        <v>40</v>
      </c>
    </row>
    <row r="1658">
      <c r="A1658">
        <f>MOD(1658-1,101)</f>
        <v>41</v>
      </c>
    </row>
    <row r="1659">
      <c r="A1659">
        <f>MOD(1659-1,101)</f>
        <v>42</v>
      </c>
    </row>
    <row r="1660">
      <c r="A1660">
        <f>MOD(1660-1,101)</f>
        <v>43</v>
      </c>
    </row>
    <row r="1661">
      <c r="A1661">
        <f>MOD(1661-1,101)</f>
        <v>44</v>
      </c>
    </row>
    <row r="1662">
      <c r="A1662">
        <f>MOD(1662-1,101)</f>
        <v>45</v>
      </c>
    </row>
    <row r="1663">
      <c r="A1663">
        <f>MOD(1663-1,101)</f>
        <v>46</v>
      </c>
    </row>
    <row r="1664">
      <c r="A1664">
        <f>MOD(1664-1,101)</f>
        <v>47</v>
      </c>
    </row>
    <row r="1665">
      <c r="A1665">
        <f>MOD(1665-1,101)</f>
        <v>48</v>
      </c>
    </row>
    <row r="1666">
      <c r="A1666">
        <f>MOD(1666-1,101)</f>
        <v>49</v>
      </c>
    </row>
    <row r="1667">
      <c r="A1667">
        <f>MOD(1667-1,101)</f>
        <v>50</v>
      </c>
    </row>
    <row r="1668">
      <c r="A1668">
        <f>MOD(1668-1,101)</f>
        <v>51</v>
      </c>
    </row>
    <row r="1669">
      <c r="A1669">
        <f>MOD(1669-1,101)</f>
        <v>52</v>
      </c>
    </row>
    <row r="1670">
      <c r="A1670">
        <f>MOD(1670-1,101)</f>
        <v>53</v>
      </c>
    </row>
    <row r="1671">
      <c r="A1671">
        <f>MOD(1671-1,101)</f>
        <v>54</v>
      </c>
    </row>
    <row r="1672">
      <c r="A1672">
        <f>MOD(1672-1,101)</f>
        <v>55</v>
      </c>
    </row>
    <row r="1673">
      <c r="A1673">
        <f>MOD(1673-1,101)</f>
        <v>56</v>
      </c>
    </row>
    <row r="1674">
      <c r="A1674">
        <f>MOD(1674-1,101)</f>
        <v>57</v>
      </c>
    </row>
    <row r="1675">
      <c r="A1675">
        <f>MOD(1675-1,101)</f>
        <v>58</v>
      </c>
    </row>
    <row r="1676">
      <c r="A1676">
        <f>MOD(1676-1,101)</f>
        <v>59</v>
      </c>
    </row>
    <row r="1677">
      <c r="A1677">
        <f>MOD(1677-1,101)</f>
        <v>60</v>
      </c>
    </row>
    <row r="1678">
      <c r="A1678">
        <f>MOD(1678-1,101)</f>
        <v>61</v>
      </c>
    </row>
    <row r="1679">
      <c r="A1679">
        <f>MOD(1679-1,101)</f>
        <v>62</v>
      </c>
    </row>
    <row r="1680">
      <c r="A1680">
        <f>MOD(1680-1,101)</f>
        <v>63</v>
      </c>
    </row>
    <row r="1681">
      <c r="A1681">
        <f>MOD(1681-1,101)</f>
        <v>64</v>
      </c>
    </row>
    <row r="1682">
      <c r="A1682">
        <f>MOD(1682-1,101)</f>
        <v>65</v>
      </c>
    </row>
    <row r="1683">
      <c r="A1683">
        <f>MOD(1683-1,101)</f>
        <v>66</v>
      </c>
    </row>
    <row r="1684">
      <c r="A1684">
        <f>MOD(1684-1,101)</f>
        <v>67</v>
      </c>
    </row>
    <row r="1685">
      <c r="A1685">
        <f>MOD(1685-1,101)</f>
        <v>68</v>
      </c>
    </row>
    <row r="1686">
      <c r="A1686">
        <f>MOD(1686-1,101)</f>
        <v>69</v>
      </c>
    </row>
    <row r="1687">
      <c r="A1687">
        <f>MOD(1687-1,101)</f>
        <v>70</v>
      </c>
    </row>
    <row r="1688">
      <c r="A1688">
        <f>MOD(1688-1,101)</f>
        <v>71</v>
      </c>
    </row>
    <row r="1689">
      <c r="A1689">
        <f>MOD(1689-1,101)</f>
        <v>72</v>
      </c>
    </row>
    <row r="1690">
      <c r="A1690">
        <f>MOD(1690-1,101)</f>
        <v>73</v>
      </c>
    </row>
    <row r="1691">
      <c r="A1691">
        <f>MOD(1691-1,101)</f>
        <v>74</v>
      </c>
    </row>
    <row r="1692">
      <c r="A1692">
        <f>MOD(1692-1,101)</f>
        <v>75</v>
      </c>
    </row>
    <row r="1693">
      <c r="A1693">
        <f>MOD(1693-1,101)</f>
        <v>76</v>
      </c>
    </row>
    <row r="1694">
      <c r="A1694">
        <f>MOD(1694-1,101)</f>
        <v>77</v>
      </c>
    </row>
    <row r="1695">
      <c r="A1695">
        <f>MOD(1695-1,101)</f>
        <v>78</v>
      </c>
    </row>
    <row r="1696">
      <c r="A1696">
        <f>MOD(1696-1,101)</f>
        <v>79</v>
      </c>
    </row>
    <row r="1697">
      <c r="A1697">
        <f>MOD(1697-1,101)</f>
        <v>80</v>
      </c>
    </row>
    <row r="1698">
      <c r="A1698">
        <f>MOD(1698-1,101)</f>
        <v>81</v>
      </c>
    </row>
    <row r="1699">
      <c r="A1699">
        <f>MOD(1699-1,101)</f>
        <v>82</v>
      </c>
    </row>
    <row r="1700">
      <c r="A1700">
        <f>MOD(1700-1,101)</f>
        <v>83</v>
      </c>
    </row>
    <row r="1701">
      <c r="A1701">
        <f>MOD(1701-1,101)</f>
        <v>84</v>
      </c>
    </row>
    <row r="1702">
      <c r="A1702">
        <f>MOD(1702-1,101)</f>
        <v>85</v>
      </c>
    </row>
    <row r="1703">
      <c r="A1703">
        <f>MOD(1703-1,101)</f>
        <v>86</v>
      </c>
    </row>
    <row r="1704">
      <c r="A1704">
        <f>MOD(1704-1,101)</f>
        <v>87</v>
      </c>
    </row>
    <row r="1705">
      <c r="A1705">
        <f>MOD(1705-1,101)</f>
        <v>88</v>
      </c>
    </row>
    <row r="1706">
      <c r="A1706">
        <f>MOD(1706-1,101)</f>
        <v>89</v>
      </c>
    </row>
    <row r="1707">
      <c r="A1707">
        <f>MOD(1707-1,101)</f>
        <v>90</v>
      </c>
    </row>
    <row r="1708">
      <c r="A1708">
        <f>MOD(1708-1,101)</f>
        <v>91</v>
      </c>
    </row>
    <row r="1709">
      <c r="A1709">
        <f>MOD(1709-1,101)</f>
        <v>92</v>
      </c>
    </row>
    <row r="1710">
      <c r="A1710">
        <f>MOD(1710-1,101)</f>
        <v>93</v>
      </c>
    </row>
    <row r="1711">
      <c r="A1711">
        <f>MOD(1711-1,101)</f>
        <v>94</v>
      </c>
    </row>
    <row r="1712">
      <c r="A1712">
        <f>MOD(1712-1,101)</f>
        <v>95</v>
      </c>
    </row>
    <row r="1713">
      <c r="A1713">
        <f>MOD(1713-1,101)</f>
        <v>96</v>
      </c>
    </row>
    <row r="1714">
      <c r="A1714">
        <f>MOD(1714-1,101)</f>
        <v>97</v>
      </c>
    </row>
    <row r="1715">
      <c r="A1715">
        <f>MOD(1715-1,101)</f>
        <v>98</v>
      </c>
    </row>
    <row r="1716">
      <c r="A1716">
        <f>MOD(1716-1,101)</f>
        <v>99</v>
      </c>
    </row>
    <row r="1717">
      <c r="A1717">
        <f>MOD(1717-1,101)</f>
        <v>100</v>
      </c>
    </row>
    <row r="1718">
      <c r="A1718">
        <f>MOD(1718-1,101)</f>
        <v>0</v>
      </c>
    </row>
    <row r="1719">
      <c r="A1719">
        <f>MOD(1719-1,101)</f>
        <v>1</v>
      </c>
    </row>
    <row r="1720">
      <c r="A1720">
        <f>MOD(1720-1,101)</f>
        <v>2</v>
      </c>
    </row>
    <row r="1721">
      <c r="A1721">
        <f>MOD(1721-1,101)</f>
        <v>3</v>
      </c>
    </row>
    <row r="1722">
      <c r="A1722">
        <f>MOD(1722-1,101)</f>
        <v>4</v>
      </c>
    </row>
    <row r="1723">
      <c r="A1723">
        <f>MOD(1723-1,101)</f>
        <v>5</v>
      </c>
    </row>
    <row r="1724">
      <c r="A1724">
        <f>MOD(1724-1,101)</f>
        <v>6</v>
      </c>
    </row>
    <row r="1725">
      <c r="A1725">
        <f>MOD(1725-1,101)</f>
        <v>7</v>
      </c>
    </row>
    <row r="1726">
      <c r="A1726">
        <f>MOD(1726-1,101)</f>
        <v>8</v>
      </c>
    </row>
    <row r="1727">
      <c r="A1727">
        <f>MOD(1727-1,101)</f>
        <v>9</v>
      </c>
    </row>
    <row r="1728">
      <c r="A1728">
        <f>MOD(1728-1,101)</f>
        <v>10</v>
      </c>
    </row>
    <row r="1729">
      <c r="A1729">
        <f>MOD(1729-1,101)</f>
        <v>11</v>
      </c>
    </row>
    <row r="1730">
      <c r="A1730">
        <f>MOD(1730-1,101)</f>
        <v>12</v>
      </c>
    </row>
    <row r="1731">
      <c r="A1731">
        <f>MOD(1731-1,101)</f>
        <v>13</v>
      </c>
    </row>
    <row r="1732">
      <c r="A1732">
        <f>MOD(1732-1,101)</f>
        <v>14</v>
      </c>
    </row>
    <row r="1733">
      <c r="A1733">
        <f>MOD(1733-1,101)</f>
        <v>15</v>
      </c>
    </row>
    <row r="1734">
      <c r="A1734">
        <f>MOD(1734-1,101)</f>
        <v>16</v>
      </c>
    </row>
    <row r="1735">
      <c r="A1735">
        <f>MOD(1735-1,101)</f>
        <v>17</v>
      </c>
    </row>
    <row r="1736">
      <c r="A1736">
        <f>MOD(1736-1,101)</f>
        <v>18</v>
      </c>
    </row>
    <row r="1737">
      <c r="A1737">
        <f>MOD(1737-1,101)</f>
        <v>19</v>
      </c>
    </row>
    <row r="1738">
      <c r="A1738">
        <f>MOD(1738-1,101)</f>
        <v>20</v>
      </c>
    </row>
    <row r="1739">
      <c r="A1739">
        <f>MOD(1739-1,101)</f>
        <v>21</v>
      </c>
    </row>
    <row r="1740">
      <c r="A1740">
        <f>MOD(1740-1,101)</f>
        <v>22</v>
      </c>
    </row>
    <row r="1741">
      <c r="A1741">
        <f>MOD(1741-1,101)</f>
        <v>23</v>
      </c>
    </row>
    <row r="1742">
      <c r="A1742">
        <f>MOD(1742-1,101)</f>
        <v>24</v>
      </c>
    </row>
    <row r="1743">
      <c r="A1743">
        <f>MOD(1743-1,101)</f>
        <v>25</v>
      </c>
    </row>
    <row r="1744">
      <c r="A1744">
        <f>MOD(1744-1,101)</f>
        <v>26</v>
      </c>
    </row>
    <row r="1745">
      <c r="A1745">
        <f>MOD(1745-1,101)</f>
        <v>27</v>
      </c>
    </row>
    <row r="1746">
      <c r="A1746">
        <f>MOD(1746-1,101)</f>
        <v>28</v>
      </c>
    </row>
    <row r="1747">
      <c r="A1747">
        <f>MOD(1747-1,101)</f>
        <v>29</v>
      </c>
    </row>
    <row r="1748">
      <c r="A1748">
        <f>MOD(1748-1,101)</f>
        <v>30</v>
      </c>
    </row>
    <row r="1749">
      <c r="A1749">
        <f>MOD(1749-1,101)</f>
        <v>31</v>
      </c>
    </row>
    <row r="1750">
      <c r="A1750">
        <f>MOD(1750-1,101)</f>
        <v>32</v>
      </c>
    </row>
    <row r="1751">
      <c r="A1751">
        <f>MOD(1751-1,101)</f>
        <v>33</v>
      </c>
    </row>
    <row r="1752">
      <c r="A1752">
        <f>MOD(1752-1,101)</f>
        <v>34</v>
      </c>
    </row>
    <row r="1753">
      <c r="A1753">
        <f>MOD(1753-1,101)</f>
        <v>35</v>
      </c>
    </row>
    <row r="1754">
      <c r="A1754">
        <f>MOD(1754-1,101)</f>
        <v>36</v>
      </c>
    </row>
    <row r="1755">
      <c r="A1755">
        <f>MOD(1755-1,101)</f>
        <v>37</v>
      </c>
    </row>
    <row r="1756">
      <c r="A1756">
        <f>MOD(1756-1,101)</f>
        <v>38</v>
      </c>
    </row>
    <row r="1757">
      <c r="A1757">
        <f>MOD(1757-1,101)</f>
        <v>39</v>
      </c>
    </row>
    <row r="1758">
      <c r="A1758">
        <f>MOD(1758-1,101)</f>
        <v>40</v>
      </c>
    </row>
    <row r="1759">
      <c r="A1759">
        <f>MOD(1759-1,101)</f>
        <v>41</v>
      </c>
    </row>
    <row r="1760">
      <c r="A1760">
        <f>MOD(1760-1,101)</f>
        <v>42</v>
      </c>
    </row>
    <row r="1761">
      <c r="A1761">
        <f>MOD(1761-1,101)</f>
        <v>43</v>
      </c>
    </row>
    <row r="1762">
      <c r="A1762">
        <f>MOD(1762-1,101)</f>
        <v>44</v>
      </c>
    </row>
    <row r="1763">
      <c r="A1763">
        <f>MOD(1763-1,101)</f>
        <v>45</v>
      </c>
    </row>
    <row r="1764">
      <c r="A1764">
        <f>MOD(1764-1,101)</f>
        <v>46</v>
      </c>
    </row>
    <row r="1765">
      <c r="A1765">
        <f>MOD(1765-1,101)</f>
        <v>47</v>
      </c>
    </row>
    <row r="1766">
      <c r="A1766">
        <f>MOD(1766-1,101)</f>
        <v>48</v>
      </c>
    </row>
    <row r="1767">
      <c r="A1767">
        <f>MOD(1767-1,101)</f>
        <v>49</v>
      </c>
    </row>
    <row r="1768">
      <c r="A1768">
        <f>MOD(1768-1,101)</f>
        <v>50</v>
      </c>
    </row>
    <row r="1769">
      <c r="A1769">
        <f>MOD(1769-1,101)</f>
        <v>51</v>
      </c>
    </row>
    <row r="1770">
      <c r="A1770">
        <f>MOD(1770-1,101)</f>
        <v>52</v>
      </c>
    </row>
    <row r="1771">
      <c r="A1771">
        <f>MOD(1771-1,101)</f>
        <v>53</v>
      </c>
    </row>
    <row r="1772">
      <c r="A1772">
        <f>MOD(1772-1,101)</f>
        <v>54</v>
      </c>
    </row>
    <row r="1773">
      <c r="A1773">
        <f>MOD(1773-1,101)</f>
        <v>55</v>
      </c>
    </row>
    <row r="1774">
      <c r="A1774">
        <f>MOD(1774-1,101)</f>
        <v>56</v>
      </c>
    </row>
    <row r="1775">
      <c r="A1775">
        <f>MOD(1775-1,101)</f>
        <v>57</v>
      </c>
    </row>
    <row r="1776">
      <c r="A1776">
        <f>MOD(1776-1,101)</f>
        <v>58</v>
      </c>
    </row>
    <row r="1777">
      <c r="A1777">
        <f>MOD(1777-1,101)</f>
        <v>59</v>
      </c>
    </row>
    <row r="1778">
      <c r="A1778">
        <f>MOD(1778-1,101)</f>
        <v>60</v>
      </c>
    </row>
    <row r="1779">
      <c r="A1779">
        <f>MOD(1779-1,101)</f>
        <v>61</v>
      </c>
    </row>
    <row r="1780">
      <c r="A1780">
        <f>MOD(1780-1,101)</f>
        <v>62</v>
      </c>
    </row>
    <row r="1781">
      <c r="A1781">
        <f>MOD(1781-1,101)</f>
        <v>63</v>
      </c>
    </row>
    <row r="1782">
      <c r="A1782">
        <f>MOD(1782-1,101)</f>
        <v>64</v>
      </c>
    </row>
    <row r="1783">
      <c r="A1783">
        <f>MOD(1783-1,101)</f>
        <v>65</v>
      </c>
    </row>
    <row r="1784">
      <c r="A1784">
        <f>MOD(1784-1,101)</f>
        <v>66</v>
      </c>
    </row>
    <row r="1785">
      <c r="A1785">
        <f>MOD(1785-1,101)</f>
        <v>67</v>
      </c>
    </row>
    <row r="1786">
      <c r="A1786">
        <f>MOD(1786-1,101)</f>
        <v>68</v>
      </c>
    </row>
    <row r="1787">
      <c r="A1787">
        <f>MOD(1787-1,101)</f>
        <v>69</v>
      </c>
    </row>
    <row r="1788">
      <c r="A1788">
        <f>MOD(1788-1,101)</f>
        <v>70</v>
      </c>
    </row>
    <row r="1789">
      <c r="A1789">
        <f>MOD(1789-1,101)</f>
        <v>71</v>
      </c>
    </row>
    <row r="1790">
      <c r="A1790">
        <f>MOD(1790-1,101)</f>
        <v>72</v>
      </c>
    </row>
    <row r="1791">
      <c r="A1791">
        <f>MOD(1791-1,101)</f>
        <v>73</v>
      </c>
    </row>
    <row r="1792">
      <c r="A1792">
        <f>MOD(1792-1,101)</f>
        <v>74</v>
      </c>
    </row>
    <row r="1793">
      <c r="A1793">
        <f>MOD(1793-1,101)</f>
        <v>75</v>
      </c>
    </row>
    <row r="1794">
      <c r="A1794">
        <f>MOD(1794-1,101)</f>
        <v>76</v>
      </c>
    </row>
    <row r="1795">
      <c r="A1795">
        <f>MOD(1795-1,101)</f>
        <v>77</v>
      </c>
    </row>
    <row r="1796">
      <c r="A1796">
        <f>MOD(1796-1,101)</f>
        <v>78</v>
      </c>
    </row>
    <row r="1797">
      <c r="A1797">
        <f>MOD(1797-1,101)</f>
        <v>79</v>
      </c>
    </row>
    <row r="1798">
      <c r="A1798">
        <f>MOD(1798-1,101)</f>
        <v>80</v>
      </c>
    </row>
    <row r="1799">
      <c r="A1799">
        <f>MOD(1799-1,101)</f>
        <v>81</v>
      </c>
    </row>
    <row r="1800">
      <c r="A1800">
        <f>MOD(1800-1,101)</f>
        <v>82</v>
      </c>
    </row>
    <row r="1801">
      <c r="A1801">
        <f>MOD(1801-1,101)</f>
        <v>83</v>
      </c>
    </row>
    <row r="1802">
      <c r="A1802">
        <f>MOD(1802-1,101)</f>
        <v>84</v>
      </c>
    </row>
    <row r="1803">
      <c r="A1803">
        <f>MOD(1803-1,101)</f>
        <v>85</v>
      </c>
    </row>
    <row r="1804">
      <c r="A1804">
        <f>MOD(1804-1,101)</f>
        <v>86</v>
      </c>
    </row>
    <row r="1805">
      <c r="A1805">
        <f>MOD(1805-1,101)</f>
        <v>87</v>
      </c>
    </row>
    <row r="1806">
      <c r="A1806">
        <f>MOD(1806-1,101)</f>
        <v>88</v>
      </c>
    </row>
    <row r="1807">
      <c r="A1807">
        <f>MOD(1807-1,101)</f>
        <v>89</v>
      </c>
    </row>
    <row r="1808">
      <c r="A1808">
        <f>MOD(1808-1,101)</f>
        <v>90</v>
      </c>
    </row>
    <row r="1809">
      <c r="A1809">
        <f>MOD(1809-1,101)</f>
        <v>91</v>
      </c>
    </row>
    <row r="1810">
      <c r="A1810">
        <f>MOD(1810-1,101)</f>
        <v>92</v>
      </c>
    </row>
    <row r="1811">
      <c r="A1811">
        <f>MOD(1811-1,101)</f>
        <v>93</v>
      </c>
    </row>
    <row r="1812">
      <c r="A1812">
        <f>MOD(1812-1,101)</f>
        <v>94</v>
      </c>
    </row>
    <row r="1813">
      <c r="A1813">
        <f>MOD(1813-1,101)</f>
        <v>95</v>
      </c>
    </row>
    <row r="1814">
      <c r="A1814">
        <f>MOD(1814-1,101)</f>
        <v>96</v>
      </c>
    </row>
    <row r="1815">
      <c r="A1815">
        <f>MOD(1815-1,101)</f>
        <v>97</v>
      </c>
    </row>
    <row r="1816">
      <c r="A1816">
        <f>MOD(1816-1,101)</f>
        <v>98</v>
      </c>
    </row>
    <row r="1817">
      <c r="A1817">
        <f>MOD(1817-1,101)</f>
        <v>99</v>
      </c>
    </row>
    <row r="1818">
      <c r="A1818">
        <f>MOD(1818-1,101)</f>
        <v>100</v>
      </c>
    </row>
    <row r="1819">
      <c r="A1819">
        <f>MOD(1819-1,101)</f>
        <v>0</v>
      </c>
    </row>
    <row r="1820">
      <c r="A1820">
        <f>MOD(1820-1,101)</f>
        <v>1</v>
      </c>
    </row>
    <row r="1821">
      <c r="A1821">
        <f>MOD(1821-1,101)</f>
        <v>2</v>
      </c>
    </row>
    <row r="1822">
      <c r="A1822">
        <f>MOD(1822-1,101)</f>
        <v>3</v>
      </c>
    </row>
    <row r="1823">
      <c r="A1823">
        <f>MOD(1823-1,101)</f>
        <v>4</v>
      </c>
    </row>
    <row r="1824">
      <c r="A1824">
        <f>MOD(1824-1,101)</f>
        <v>5</v>
      </c>
    </row>
    <row r="1825">
      <c r="A1825">
        <f>MOD(1825-1,101)</f>
        <v>6</v>
      </c>
    </row>
    <row r="1826">
      <c r="A1826">
        <f>MOD(1826-1,101)</f>
        <v>7</v>
      </c>
    </row>
    <row r="1827">
      <c r="A1827">
        <f>MOD(1827-1,101)</f>
        <v>8</v>
      </c>
    </row>
    <row r="1828">
      <c r="A1828">
        <f>MOD(1828-1,101)</f>
        <v>9</v>
      </c>
    </row>
    <row r="1829">
      <c r="A1829">
        <f>MOD(1829-1,101)</f>
        <v>10</v>
      </c>
    </row>
    <row r="1830">
      <c r="A1830">
        <f>MOD(1830-1,101)</f>
        <v>11</v>
      </c>
    </row>
    <row r="1831">
      <c r="A1831">
        <f>MOD(1831-1,101)</f>
        <v>12</v>
      </c>
    </row>
    <row r="1832">
      <c r="A1832">
        <f>MOD(1832-1,101)</f>
        <v>13</v>
      </c>
    </row>
    <row r="1833">
      <c r="A1833">
        <f>MOD(1833-1,101)</f>
        <v>14</v>
      </c>
    </row>
    <row r="1834">
      <c r="A1834">
        <f>MOD(1834-1,101)</f>
        <v>15</v>
      </c>
    </row>
    <row r="1835">
      <c r="A1835">
        <f>MOD(1835-1,101)</f>
        <v>16</v>
      </c>
    </row>
    <row r="1836">
      <c r="A1836">
        <f>MOD(1836-1,101)</f>
        <v>17</v>
      </c>
    </row>
    <row r="1837">
      <c r="A1837">
        <f>MOD(1837-1,101)</f>
        <v>18</v>
      </c>
    </row>
    <row r="1838">
      <c r="A1838">
        <f>MOD(1838-1,101)</f>
        <v>19</v>
      </c>
    </row>
    <row r="1839">
      <c r="A1839">
        <f>MOD(1839-1,101)</f>
        <v>20</v>
      </c>
    </row>
    <row r="1840">
      <c r="A1840">
        <f>MOD(1840-1,101)</f>
        <v>21</v>
      </c>
    </row>
    <row r="1841">
      <c r="A1841">
        <f>MOD(1841-1,101)</f>
        <v>22</v>
      </c>
    </row>
    <row r="1842">
      <c r="A1842">
        <f>MOD(1842-1,101)</f>
        <v>23</v>
      </c>
    </row>
    <row r="1843">
      <c r="A1843">
        <f>MOD(1843-1,101)</f>
        <v>24</v>
      </c>
    </row>
    <row r="1844">
      <c r="A1844">
        <f>MOD(1844-1,101)</f>
        <v>25</v>
      </c>
    </row>
    <row r="1845">
      <c r="A1845">
        <f>MOD(1845-1,101)</f>
        <v>26</v>
      </c>
    </row>
    <row r="1846">
      <c r="A1846">
        <f>MOD(1846-1,101)</f>
        <v>27</v>
      </c>
    </row>
    <row r="1847">
      <c r="A1847">
        <f>MOD(1847-1,101)</f>
        <v>28</v>
      </c>
    </row>
    <row r="1848">
      <c r="A1848">
        <f>MOD(1848-1,101)</f>
        <v>29</v>
      </c>
    </row>
    <row r="1849">
      <c r="A1849">
        <f>MOD(1849-1,101)</f>
        <v>30</v>
      </c>
    </row>
    <row r="1850">
      <c r="A1850">
        <f>MOD(1850-1,101)</f>
        <v>31</v>
      </c>
    </row>
    <row r="1851">
      <c r="A1851">
        <f>MOD(1851-1,101)</f>
        <v>32</v>
      </c>
    </row>
    <row r="1852">
      <c r="A1852">
        <f>MOD(1852-1,101)</f>
        <v>33</v>
      </c>
    </row>
    <row r="1853">
      <c r="A1853">
        <f>MOD(1853-1,101)</f>
        <v>34</v>
      </c>
    </row>
    <row r="1854">
      <c r="A1854">
        <f>MOD(1854-1,101)</f>
        <v>35</v>
      </c>
    </row>
    <row r="1855">
      <c r="A1855">
        <f>MOD(1855-1,101)</f>
        <v>36</v>
      </c>
    </row>
    <row r="1856">
      <c r="A1856">
        <f>MOD(1856-1,101)</f>
        <v>37</v>
      </c>
    </row>
    <row r="1857">
      <c r="A1857">
        <f>MOD(1857-1,101)</f>
        <v>38</v>
      </c>
    </row>
    <row r="1858">
      <c r="A1858">
        <f>MOD(1858-1,101)</f>
        <v>39</v>
      </c>
    </row>
    <row r="1859">
      <c r="A1859">
        <f>MOD(1859-1,101)</f>
        <v>40</v>
      </c>
    </row>
    <row r="1860">
      <c r="A1860">
        <f>MOD(1860-1,101)</f>
        <v>41</v>
      </c>
    </row>
    <row r="1861">
      <c r="A1861">
        <f>MOD(1861-1,101)</f>
        <v>42</v>
      </c>
    </row>
    <row r="1862">
      <c r="A1862">
        <f>MOD(1862-1,101)</f>
        <v>43</v>
      </c>
    </row>
    <row r="1863">
      <c r="A1863">
        <f>MOD(1863-1,101)</f>
        <v>44</v>
      </c>
    </row>
    <row r="1864">
      <c r="A1864">
        <f>MOD(1864-1,101)</f>
        <v>45</v>
      </c>
    </row>
    <row r="1865">
      <c r="A1865">
        <f>MOD(1865-1,101)</f>
        <v>46</v>
      </c>
    </row>
    <row r="1866">
      <c r="A1866">
        <f>MOD(1866-1,101)</f>
        <v>47</v>
      </c>
    </row>
    <row r="1867">
      <c r="A1867">
        <f>MOD(1867-1,101)</f>
        <v>48</v>
      </c>
    </row>
    <row r="1868">
      <c r="A1868">
        <f>MOD(1868-1,101)</f>
        <v>49</v>
      </c>
    </row>
    <row r="1869">
      <c r="A1869">
        <f>MOD(1869-1,101)</f>
        <v>50</v>
      </c>
    </row>
    <row r="1870">
      <c r="A1870">
        <f>MOD(1870-1,101)</f>
        <v>51</v>
      </c>
    </row>
    <row r="1871">
      <c r="A1871">
        <f>MOD(1871-1,101)</f>
        <v>52</v>
      </c>
    </row>
    <row r="1872">
      <c r="A1872">
        <f>MOD(1872-1,101)</f>
        <v>53</v>
      </c>
    </row>
    <row r="1873">
      <c r="A1873">
        <f>MOD(1873-1,101)</f>
        <v>54</v>
      </c>
    </row>
    <row r="1874">
      <c r="A1874">
        <f>MOD(1874-1,101)</f>
        <v>55</v>
      </c>
    </row>
    <row r="1875">
      <c r="A1875">
        <f>MOD(1875-1,101)</f>
        <v>56</v>
      </c>
    </row>
    <row r="1876">
      <c r="A1876">
        <f>MOD(1876-1,101)</f>
        <v>57</v>
      </c>
    </row>
    <row r="1877">
      <c r="A1877">
        <f>MOD(1877-1,101)</f>
        <v>58</v>
      </c>
    </row>
    <row r="1878">
      <c r="A1878">
        <f>MOD(1878-1,101)</f>
        <v>59</v>
      </c>
    </row>
    <row r="1879">
      <c r="A1879">
        <f>MOD(1879-1,101)</f>
        <v>60</v>
      </c>
    </row>
    <row r="1880">
      <c r="A1880">
        <f>MOD(1880-1,101)</f>
        <v>61</v>
      </c>
    </row>
    <row r="1881">
      <c r="A1881">
        <f>MOD(1881-1,101)</f>
        <v>62</v>
      </c>
    </row>
    <row r="1882">
      <c r="A1882">
        <f>MOD(1882-1,101)</f>
        <v>63</v>
      </c>
    </row>
    <row r="1883">
      <c r="A1883">
        <f>MOD(1883-1,101)</f>
        <v>64</v>
      </c>
    </row>
    <row r="1884">
      <c r="A1884">
        <f>MOD(1884-1,101)</f>
        <v>65</v>
      </c>
    </row>
    <row r="1885">
      <c r="A1885">
        <f>MOD(1885-1,101)</f>
        <v>66</v>
      </c>
    </row>
    <row r="1886">
      <c r="A1886">
        <f>MOD(1886-1,101)</f>
        <v>67</v>
      </c>
    </row>
    <row r="1887">
      <c r="A1887">
        <f>MOD(1887-1,101)</f>
        <v>68</v>
      </c>
    </row>
    <row r="1888">
      <c r="A1888">
        <f>MOD(1888-1,101)</f>
        <v>69</v>
      </c>
    </row>
    <row r="1889">
      <c r="A1889">
        <f>MOD(1889-1,101)</f>
        <v>70</v>
      </c>
    </row>
    <row r="1890">
      <c r="A1890">
        <f>MOD(1890-1,101)</f>
        <v>71</v>
      </c>
    </row>
    <row r="1891">
      <c r="A1891">
        <f>MOD(1891-1,101)</f>
        <v>72</v>
      </c>
    </row>
    <row r="1892">
      <c r="A1892">
        <f>MOD(1892-1,101)</f>
        <v>73</v>
      </c>
    </row>
    <row r="1893">
      <c r="A1893">
        <f>MOD(1893-1,101)</f>
        <v>74</v>
      </c>
    </row>
    <row r="1894">
      <c r="A1894">
        <f>MOD(1894-1,101)</f>
        <v>75</v>
      </c>
    </row>
    <row r="1895">
      <c r="A1895">
        <f>MOD(1895-1,101)</f>
        <v>76</v>
      </c>
    </row>
    <row r="1896">
      <c r="A1896">
        <f>MOD(1896-1,101)</f>
        <v>77</v>
      </c>
    </row>
    <row r="1897">
      <c r="A1897">
        <f>MOD(1897-1,101)</f>
        <v>78</v>
      </c>
    </row>
    <row r="1898">
      <c r="A1898">
        <f>MOD(1898-1,101)</f>
        <v>79</v>
      </c>
    </row>
    <row r="1899">
      <c r="A1899">
        <f>MOD(1899-1,101)</f>
        <v>80</v>
      </c>
    </row>
    <row r="1900">
      <c r="A1900">
        <f>MOD(1900-1,101)</f>
        <v>81</v>
      </c>
    </row>
    <row r="1901">
      <c r="A1901">
        <f>MOD(1901-1,101)</f>
        <v>82</v>
      </c>
    </row>
    <row r="1902">
      <c r="A1902">
        <f>MOD(1902-1,101)</f>
        <v>83</v>
      </c>
    </row>
    <row r="1903">
      <c r="A1903">
        <f>MOD(1903-1,101)</f>
        <v>84</v>
      </c>
    </row>
    <row r="1904">
      <c r="A1904">
        <f>MOD(1904-1,101)</f>
        <v>85</v>
      </c>
    </row>
    <row r="1905">
      <c r="A1905">
        <f>MOD(1905-1,101)</f>
        <v>86</v>
      </c>
    </row>
    <row r="1906">
      <c r="A1906">
        <f>MOD(1906-1,101)</f>
        <v>87</v>
      </c>
    </row>
    <row r="1907">
      <c r="A1907">
        <f>MOD(1907-1,101)</f>
        <v>88</v>
      </c>
    </row>
    <row r="1908">
      <c r="A1908">
        <f>MOD(1908-1,101)</f>
        <v>89</v>
      </c>
    </row>
    <row r="1909">
      <c r="A1909">
        <f>MOD(1909-1,101)</f>
        <v>90</v>
      </c>
    </row>
    <row r="1910">
      <c r="A1910">
        <f>MOD(1910-1,101)</f>
        <v>91</v>
      </c>
    </row>
    <row r="1911">
      <c r="A1911">
        <f>MOD(1911-1,101)</f>
        <v>92</v>
      </c>
    </row>
    <row r="1912">
      <c r="A1912">
        <f>MOD(1912-1,101)</f>
        <v>93</v>
      </c>
    </row>
    <row r="1913">
      <c r="A1913">
        <f>MOD(1913-1,101)</f>
        <v>94</v>
      </c>
    </row>
    <row r="1914">
      <c r="A1914">
        <f>MOD(1914-1,101)</f>
        <v>95</v>
      </c>
    </row>
    <row r="1915">
      <c r="A1915">
        <f>MOD(1915-1,101)</f>
        <v>96</v>
      </c>
    </row>
    <row r="1916">
      <c r="A1916">
        <f>MOD(1916-1,101)</f>
        <v>97</v>
      </c>
    </row>
    <row r="1917">
      <c r="A1917">
        <f>MOD(1917-1,101)</f>
        <v>98</v>
      </c>
    </row>
    <row r="1918">
      <c r="A1918">
        <f>MOD(1918-1,101)</f>
        <v>99</v>
      </c>
    </row>
    <row r="1919">
      <c r="A1919">
        <f>MOD(1919-1,101)</f>
        <v>100</v>
      </c>
    </row>
    <row r="1920">
      <c r="A1920">
        <f>MOD(1920-1,101)</f>
        <v>0</v>
      </c>
    </row>
    <row r="1921">
      <c r="A1921">
        <f>MOD(1921-1,101)</f>
        <v>1</v>
      </c>
    </row>
    <row r="1922">
      <c r="A1922">
        <f>MOD(1922-1,101)</f>
        <v>2</v>
      </c>
    </row>
    <row r="1923">
      <c r="A1923">
        <f>MOD(1923-1,101)</f>
        <v>3</v>
      </c>
    </row>
    <row r="1924">
      <c r="A1924">
        <f>MOD(1924-1,101)</f>
        <v>4</v>
      </c>
    </row>
    <row r="1925">
      <c r="A1925">
        <f>MOD(1925-1,101)</f>
        <v>5</v>
      </c>
    </row>
    <row r="1926">
      <c r="A1926">
        <f>MOD(1926-1,101)</f>
        <v>6</v>
      </c>
    </row>
    <row r="1927">
      <c r="A1927">
        <f>MOD(1927-1,101)</f>
        <v>7</v>
      </c>
    </row>
    <row r="1928">
      <c r="A1928">
        <f>MOD(1928-1,101)</f>
        <v>8</v>
      </c>
    </row>
    <row r="1929">
      <c r="A1929">
        <f>MOD(1929-1,101)</f>
        <v>9</v>
      </c>
    </row>
    <row r="1930">
      <c r="A1930">
        <f>MOD(1930-1,101)</f>
        <v>10</v>
      </c>
    </row>
    <row r="1931">
      <c r="A1931">
        <f>MOD(1931-1,101)</f>
        <v>11</v>
      </c>
    </row>
    <row r="1932">
      <c r="A1932">
        <f>MOD(1932-1,101)</f>
        <v>12</v>
      </c>
    </row>
    <row r="1933">
      <c r="A1933">
        <f>MOD(1933-1,101)</f>
        <v>13</v>
      </c>
    </row>
    <row r="1934">
      <c r="A1934">
        <f>MOD(1934-1,101)</f>
        <v>14</v>
      </c>
    </row>
    <row r="1935">
      <c r="A1935">
        <f>MOD(1935-1,101)</f>
        <v>15</v>
      </c>
    </row>
    <row r="1936">
      <c r="A1936">
        <f>MOD(1936-1,101)</f>
        <v>16</v>
      </c>
    </row>
    <row r="1937">
      <c r="A1937">
        <f>MOD(1937-1,101)</f>
        <v>17</v>
      </c>
    </row>
    <row r="1938">
      <c r="A1938">
        <f>MOD(1938-1,101)</f>
        <v>18</v>
      </c>
    </row>
    <row r="1939">
      <c r="A1939">
        <f>MOD(1939-1,101)</f>
        <v>19</v>
      </c>
    </row>
    <row r="1940">
      <c r="A1940">
        <f>MOD(1940-1,101)</f>
        <v>20</v>
      </c>
    </row>
    <row r="1941">
      <c r="A1941">
        <f>MOD(1941-1,101)</f>
        <v>21</v>
      </c>
    </row>
    <row r="1942">
      <c r="A1942">
        <f>MOD(1942-1,101)</f>
        <v>22</v>
      </c>
    </row>
    <row r="1943">
      <c r="A1943">
        <f>MOD(1943-1,101)</f>
        <v>23</v>
      </c>
    </row>
    <row r="1944">
      <c r="A1944">
        <f>MOD(1944-1,101)</f>
        <v>24</v>
      </c>
    </row>
    <row r="1945">
      <c r="A1945">
        <f>MOD(1945-1,101)</f>
        <v>25</v>
      </c>
    </row>
    <row r="1946">
      <c r="A1946">
        <f>MOD(1946-1,101)</f>
        <v>26</v>
      </c>
    </row>
    <row r="1947">
      <c r="A1947">
        <f>MOD(1947-1,101)</f>
        <v>27</v>
      </c>
    </row>
    <row r="1948">
      <c r="A1948">
        <f>MOD(1948-1,101)</f>
        <v>28</v>
      </c>
    </row>
    <row r="1949">
      <c r="A1949">
        <f>MOD(1949-1,101)</f>
        <v>29</v>
      </c>
    </row>
    <row r="1950">
      <c r="A1950">
        <f>MOD(1950-1,101)</f>
        <v>30</v>
      </c>
    </row>
    <row r="1951">
      <c r="A1951">
        <f>MOD(1951-1,101)</f>
        <v>31</v>
      </c>
    </row>
    <row r="1952">
      <c r="A1952">
        <f>MOD(1952-1,101)</f>
        <v>32</v>
      </c>
    </row>
    <row r="1953">
      <c r="A1953">
        <f>MOD(1953-1,101)</f>
        <v>33</v>
      </c>
    </row>
    <row r="1954">
      <c r="A1954">
        <f>MOD(1954-1,101)</f>
        <v>34</v>
      </c>
    </row>
    <row r="1955">
      <c r="A1955">
        <f>MOD(1955-1,101)</f>
        <v>35</v>
      </c>
    </row>
    <row r="1956">
      <c r="A1956">
        <f>MOD(1956-1,101)</f>
        <v>36</v>
      </c>
    </row>
    <row r="1957">
      <c r="A1957">
        <f>MOD(1957-1,101)</f>
        <v>37</v>
      </c>
    </row>
    <row r="1958">
      <c r="A1958">
        <f>MOD(1958-1,101)</f>
        <v>38</v>
      </c>
    </row>
    <row r="1959">
      <c r="A1959">
        <f>MOD(1959-1,101)</f>
        <v>39</v>
      </c>
    </row>
    <row r="1960">
      <c r="A1960">
        <f>MOD(1960-1,101)</f>
        <v>40</v>
      </c>
    </row>
    <row r="1961">
      <c r="A1961">
        <f>MOD(1961-1,101)</f>
        <v>41</v>
      </c>
    </row>
    <row r="1962">
      <c r="A1962">
        <f>MOD(1962-1,101)</f>
        <v>42</v>
      </c>
    </row>
    <row r="1963">
      <c r="A1963">
        <f>MOD(1963-1,101)</f>
        <v>43</v>
      </c>
    </row>
    <row r="1964">
      <c r="A1964">
        <f>MOD(1964-1,101)</f>
        <v>44</v>
      </c>
    </row>
    <row r="1965">
      <c r="A1965">
        <f>MOD(1965-1,101)</f>
        <v>45</v>
      </c>
    </row>
    <row r="1966">
      <c r="A1966">
        <f>MOD(1966-1,101)</f>
        <v>46</v>
      </c>
    </row>
    <row r="1967">
      <c r="A1967">
        <f>MOD(1967-1,101)</f>
        <v>47</v>
      </c>
    </row>
    <row r="1968">
      <c r="A1968">
        <f>MOD(1968-1,101)</f>
        <v>48</v>
      </c>
    </row>
    <row r="1969">
      <c r="A1969">
        <f>MOD(1969-1,101)</f>
        <v>49</v>
      </c>
    </row>
    <row r="1970">
      <c r="A1970">
        <f>MOD(1970-1,101)</f>
        <v>50</v>
      </c>
    </row>
    <row r="1971">
      <c r="A1971">
        <f>MOD(1971-1,101)</f>
        <v>51</v>
      </c>
    </row>
    <row r="1972">
      <c r="A1972">
        <f>MOD(1972-1,101)</f>
        <v>52</v>
      </c>
    </row>
    <row r="1973">
      <c r="A1973">
        <f>MOD(1973-1,101)</f>
        <v>53</v>
      </c>
    </row>
    <row r="1974">
      <c r="A1974">
        <f>MOD(1974-1,101)</f>
        <v>54</v>
      </c>
    </row>
    <row r="1975">
      <c r="A1975">
        <f>MOD(1975-1,101)</f>
        <v>55</v>
      </c>
    </row>
    <row r="1976">
      <c r="A1976">
        <f>MOD(1976-1,101)</f>
        <v>56</v>
      </c>
    </row>
    <row r="1977">
      <c r="A1977">
        <f>MOD(1977-1,101)</f>
        <v>57</v>
      </c>
    </row>
    <row r="1978">
      <c r="A1978">
        <f>MOD(1978-1,101)</f>
        <v>58</v>
      </c>
    </row>
    <row r="1979">
      <c r="A1979">
        <f>MOD(1979-1,101)</f>
        <v>59</v>
      </c>
    </row>
    <row r="1980">
      <c r="A1980">
        <f>MOD(1980-1,101)</f>
        <v>60</v>
      </c>
    </row>
    <row r="1981">
      <c r="A1981">
        <f>MOD(1981-1,101)</f>
        <v>61</v>
      </c>
    </row>
    <row r="1982">
      <c r="A1982">
        <f>MOD(1982-1,101)</f>
        <v>62</v>
      </c>
    </row>
    <row r="1983">
      <c r="A1983">
        <f>MOD(1983-1,101)</f>
        <v>63</v>
      </c>
    </row>
    <row r="1984">
      <c r="A1984">
        <f>MOD(1984-1,101)</f>
        <v>64</v>
      </c>
    </row>
    <row r="1985">
      <c r="A1985">
        <f>MOD(1985-1,101)</f>
        <v>65</v>
      </c>
    </row>
    <row r="1986">
      <c r="A1986">
        <f>MOD(1986-1,101)</f>
        <v>66</v>
      </c>
    </row>
    <row r="1987">
      <c r="A1987">
        <f>MOD(1987-1,101)</f>
        <v>67</v>
      </c>
    </row>
    <row r="1988">
      <c r="A1988">
        <f>MOD(1988-1,101)</f>
        <v>68</v>
      </c>
    </row>
    <row r="1989">
      <c r="A1989">
        <f>MOD(1989-1,101)</f>
        <v>69</v>
      </c>
    </row>
    <row r="1990">
      <c r="A1990">
        <f>MOD(1990-1,101)</f>
        <v>70</v>
      </c>
    </row>
    <row r="1991">
      <c r="A1991">
        <f>MOD(1991-1,101)</f>
        <v>71</v>
      </c>
    </row>
    <row r="1992">
      <c r="A1992">
        <f>MOD(1992-1,101)</f>
        <v>72</v>
      </c>
    </row>
    <row r="1993">
      <c r="A1993">
        <f>MOD(1993-1,101)</f>
        <v>73</v>
      </c>
    </row>
    <row r="1994">
      <c r="A1994">
        <f>MOD(1994-1,101)</f>
        <v>74</v>
      </c>
    </row>
    <row r="1995">
      <c r="A1995">
        <f>MOD(1995-1,101)</f>
        <v>75</v>
      </c>
    </row>
    <row r="1996">
      <c r="A1996">
        <f>MOD(1996-1,101)</f>
        <v>76</v>
      </c>
    </row>
    <row r="1997">
      <c r="A1997">
        <f>MOD(1997-1,101)</f>
        <v>77</v>
      </c>
    </row>
    <row r="1998">
      <c r="A1998">
        <f>MOD(1998-1,101)</f>
        <v>78</v>
      </c>
    </row>
    <row r="1999">
      <c r="A1999">
        <f>MOD(1999-1,101)</f>
        <v>79</v>
      </c>
    </row>
    <row r="2000">
      <c r="A2000">
        <f>MOD(2000-1,101)</f>
        <v>80</v>
      </c>
    </row>
    <row r="2001">
      <c r="A2001">
        <f>MOD(2001-1,101)</f>
        <v>81</v>
      </c>
    </row>
    <row r="2002">
      <c r="A2002">
        <f>MOD(2002-1,101)</f>
        <v>82</v>
      </c>
    </row>
    <row r="2003">
      <c r="A2003">
        <f>MOD(2003-1,101)</f>
        <v>83</v>
      </c>
    </row>
    <row r="2004">
      <c r="A2004">
        <f>MOD(2004-1,101)</f>
        <v>84</v>
      </c>
    </row>
    <row r="2005">
      <c r="A2005">
        <f>MOD(2005-1,101)</f>
        <v>85</v>
      </c>
    </row>
    <row r="2006">
      <c r="A2006">
        <f>MOD(2006-1,101)</f>
        <v>86</v>
      </c>
    </row>
    <row r="2007">
      <c r="A2007">
        <f>MOD(2007-1,101)</f>
        <v>87</v>
      </c>
    </row>
    <row r="2008">
      <c r="A2008">
        <f>MOD(2008-1,101)</f>
        <v>88</v>
      </c>
    </row>
    <row r="2009">
      <c r="A2009">
        <f>MOD(2009-1,101)</f>
        <v>89</v>
      </c>
    </row>
    <row r="2010">
      <c r="A2010">
        <f>MOD(2010-1,101)</f>
        <v>90</v>
      </c>
    </row>
    <row r="2011">
      <c r="A2011">
        <f>MOD(2011-1,101)</f>
        <v>91</v>
      </c>
    </row>
    <row r="2012">
      <c r="A2012">
        <f>MOD(2012-1,101)</f>
        <v>92</v>
      </c>
    </row>
    <row r="2013">
      <c r="A2013">
        <f>MOD(2013-1,101)</f>
        <v>93</v>
      </c>
    </row>
    <row r="2014">
      <c r="A2014">
        <f>MOD(2014-1,101)</f>
        <v>94</v>
      </c>
    </row>
    <row r="2015">
      <c r="A2015">
        <f>MOD(2015-1,101)</f>
        <v>95</v>
      </c>
    </row>
    <row r="2016">
      <c r="A2016">
        <f>MOD(2016-1,101)</f>
        <v>96</v>
      </c>
    </row>
    <row r="2017">
      <c r="A2017">
        <f>MOD(2017-1,101)</f>
        <v>97</v>
      </c>
    </row>
    <row r="2018">
      <c r="A2018">
        <f>MOD(2018-1,101)</f>
        <v>98</v>
      </c>
    </row>
    <row r="2019">
      <c r="A2019">
        <f>MOD(2019-1,101)</f>
        <v>99</v>
      </c>
    </row>
    <row r="2020">
      <c r="A2020">
        <f>MOD(2020-1,101)</f>
        <v>100</v>
      </c>
    </row>
    <row r="2021">
      <c r="A2021">
        <f>MOD(2021-1,101)</f>
        <v>0</v>
      </c>
    </row>
    <row r="2022">
      <c r="A2022">
        <f>MOD(2022-1,101)</f>
        <v>1</v>
      </c>
    </row>
    <row r="2023">
      <c r="A2023">
        <f>MOD(2023-1,101)</f>
        <v>2</v>
      </c>
    </row>
    <row r="2024">
      <c r="A2024">
        <f>MOD(2024-1,101)</f>
        <v>3</v>
      </c>
    </row>
    <row r="2025">
      <c r="A2025">
        <f>MOD(2025-1,101)</f>
        <v>4</v>
      </c>
    </row>
    <row r="2026">
      <c r="A2026">
        <f>MOD(2026-1,101)</f>
        <v>5</v>
      </c>
    </row>
    <row r="2027">
      <c r="A2027">
        <f>MOD(2027-1,101)</f>
        <v>6</v>
      </c>
    </row>
    <row r="2028">
      <c r="A2028">
        <f>MOD(2028-1,101)</f>
        <v>7</v>
      </c>
    </row>
    <row r="2029">
      <c r="A2029">
        <f>MOD(2029-1,101)</f>
        <v>8</v>
      </c>
    </row>
    <row r="2030">
      <c r="A2030">
        <f>MOD(2030-1,101)</f>
        <v>9</v>
      </c>
    </row>
    <row r="2031">
      <c r="A2031">
        <f>MOD(2031-1,101)</f>
        <v>10</v>
      </c>
    </row>
    <row r="2032">
      <c r="A2032">
        <f>MOD(2032-1,101)</f>
        <v>11</v>
      </c>
    </row>
    <row r="2033">
      <c r="A2033">
        <f>MOD(2033-1,101)</f>
        <v>12</v>
      </c>
    </row>
    <row r="2034">
      <c r="A2034">
        <f>MOD(2034-1,101)</f>
        <v>13</v>
      </c>
    </row>
    <row r="2035">
      <c r="A2035">
        <f>MOD(2035-1,101)</f>
        <v>14</v>
      </c>
    </row>
    <row r="2036">
      <c r="A2036">
        <f>MOD(2036-1,101)</f>
        <v>15</v>
      </c>
    </row>
    <row r="2037">
      <c r="A2037">
        <f>MOD(2037-1,101)</f>
        <v>16</v>
      </c>
    </row>
    <row r="2038">
      <c r="A2038">
        <f>MOD(2038-1,101)</f>
        <v>17</v>
      </c>
    </row>
    <row r="2039">
      <c r="A2039">
        <f>MOD(2039-1,101)</f>
        <v>18</v>
      </c>
    </row>
    <row r="2040">
      <c r="A2040">
        <f>MOD(2040-1,101)</f>
        <v>19</v>
      </c>
    </row>
    <row r="2041">
      <c r="A2041">
        <f>MOD(2041-1,101)</f>
        <v>20</v>
      </c>
    </row>
    <row r="2042">
      <c r="A2042">
        <f>MOD(2042-1,101)</f>
        <v>21</v>
      </c>
    </row>
    <row r="2043">
      <c r="A2043">
        <f>MOD(2043-1,101)</f>
        <v>22</v>
      </c>
    </row>
    <row r="2044">
      <c r="A2044">
        <f>MOD(2044-1,101)</f>
        <v>23</v>
      </c>
    </row>
    <row r="2045">
      <c r="A2045">
        <f>MOD(2045-1,101)</f>
        <v>24</v>
      </c>
    </row>
    <row r="2046">
      <c r="A2046">
        <f>MOD(2046-1,101)</f>
        <v>25</v>
      </c>
    </row>
    <row r="2047">
      <c r="A2047">
        <f>MOD(2047-1,101)</f>
        <v>26</v>
      </c>
    </row>
    <row r="2048">
      <c r="A2048">
        <f>MOD(2048-1,101)</f>
        <v>27</v>
      </c>
    </row>
    <row r="2049">
      <c r="A2049">
        <f>MOD(2049-1,101)</f>
        <v>28</v>
      </c>
    </row>
    <row r="2050">
      <c r="A2050">
        <f>MOD(2050-1,101)</f>
        <v>29</v>
      </c>
    </row>
    <row r="2051">
      <c r="A2051">
        <f>MOD(2051-1,101)</f>
        <v>30</v>
      </c>
    </row>
    <row r="2052">
      <c r="A2052">
        <f>MOD(2052-1,101)</f>
        <v>31</v>
      </c>
    </row>
    <row r="2053">
      <c r="A2053">
        <f>MOD(2053-1,101)</f>
        <v>32</v>
      </c>
    </row>
    <row r="2054">
      <c r="A2054">
        <f>MOD(2054-1,101)</f>
        <v>33</v>
      </c>
    </row>
    <row r="2055">
      <c r="A2055">
        <f>MOD(2055-1,101)</f>
        <v>34</v>
      </c>
    </row>
    <row r="2056">
      <c r="A2056">
        <f>MOD(2056-1,101)</f>
        <v>35</v>
      </c>
    </row>
    <row r="2057">
      <c r="A2057">
        <f>MOD(2057-1,101)</f>
        <v>36</v>
      </c>
    </row>
    <row r="2058">
      <c r="A2058">
        <f>MOD(2058-1,101)</f>
        <v>37</v>
      </c>
    </row>
    <row r="2059">
      <c r="A2059">
        <f>MOD(2059-1,101)</f>
        <v>38</v>
      </c>
    </row>
    <row r="2060">
      <c r="A2060">
        <f>MOD(2060-1,101)</f>
        <v>39</v>
      </c>
    </row>
    <row r="2061">
      <c r="A2061">
        <f>MOD(2061-1,101)</f>
        <v>40</v>
      </c>
    </row>
    <row r="2062">
      <c r="A2062">
        <f>MOD(2062-1,101)</f>
        <v>41</v>
      </c>
    </row>
    <row r="2063">
      <c r="A2063">
        <f>MOD(2063-1,101)</f>
        <v>42</v>
      </c>
    </row>
    <row r="2064">
      <c r="A2064">
        <f>MOD(2064-1,101)</f>
        <v>43</v>
      </c>
    </row>
    <row r="2065">
      <c r="A2065">
        <f>MOD(2065-1,101)</f>
        <v>44</v>
      </c>
    </row>
    <row r="2066">
      <c r="A2066">
        <f>MOD(2066-1,101)</f>
        <v>45</v>
      </c>
    </row>
    <row r="2067">
      <c r="A2067">
        <f>MOD(2067-1,101)</f>
        <v>46</v>
      </c>
    </row>
    <row r="2068">
      <c r="A2068">
        <f>MOD(2068-1,101)</f>
        <v>47</v>
      </c>
    </row>
    <row r="2069">
      <c r="A2069">
        <f>MOD(2069-1,101)</f>
        <v>48</v>
      </c>
    </row>
    <row r="2070">
      <c r="A2070">
        <f>MOD(2070-1,101)</f>
        <v>49</v>
      </c>
    </row>
    <row r="2071">
      <c r="A2071">
        <f>MOD(2071-1,101)</f>
        <v>50</v>
      </c>
    </row>
    <row r="2072">
      <c r="A2072">
        <f>MOD(2072-1,101)</f>
        <v>51</v>
      </c>
    </row>
    <row r="2073">
      <c r="A2073">
        <f>MOD(2073-1,101)</f>
        <v>52</v>
      </c>
    </row>
    <row r="2074">
      <c r="A2074">
        <f>MOD(2074-1,101)</f>
        <v>53</v>
      </c>
    </row>
    <row r="2075">
      <c r="A2075">
        <f>MOD(2075-1,101)</f>
        <v>54</v>
      </c>
    </row>
    <row r="2076">
      <c r="A2076">
        <f>MOD(2076-1,101)</f>
        <v>55</v>
      </c>
    </row>
    <row r="2077">
      <c r="A2077">
        <f>MOD(2077-1,101)</f>
        <v>56</v>
      </c>
    </row>
    <row r="2078">
      <c r="A2078">
        <f>MOD(2078-1,101)</f>
        <v>57</v>
      </c>
    </row>
    <row r="2079">
      <c r="A2079">
        <f>MOD(2079-1,101)</f>
        <v>58</v>
      </c>
    </row>
    <row r="2080">
      <c r="A2080">
        <f>MOD(2080-1,101)</f>
        <v>59</v>
      </c>
    </row>
    <row r="2081">
      <c r="A2081">
        <f>MOD(2081-1,101)</f>
        <v>60</v>
      </c>
    </row>
    <row r="2082">
      <c r="A2082">
        <f>MOD(2082-1,101)</f>
        <v>61</v>
      </c>
    </row>
    <row r="2083">
      <c r="A2083">
        <f>MOD(2083-1,101)</f>
        <v>62</v>
      </c>
    </row>
    <row r="2084">
      <c r="A2084">
        <f>MOD(2084-1,101)</f>
        <v>63</v>
      </c>
    </row>
    <row r="2085">
      <c r="A2085">
        <f>MOD(2085-1,101)</f>
        <v>64</v>
      </c>
    </row>
    <row r="2086">
      <c r="A2086">
        <f>MOD(2086-1,101)</f>
        <v>65</v>
      </c>
    </row>
    <row r="2087">
      <c r="A2087">
        <f>MOD(2087-1,101)</f>
        <v>66</v>
      </c>
    </row>
    <row r="2088">
      <c r="A2088">
        <f>MOD(2088-1,101)</f>
        <v>67</v>
      </c>
    </row>
    <row r="2089">
      <c r="A2089">
        <f>MOD(2089-1,101)</f>
        <v>68</v>
      </c>
    </row>
    <row r="2090">
      <c r="A2090">
        <f>MOD(2090-1,101)</f>
        <v>69</v>
      </c>
    </row>
    <row r="2091">
      <c r="A2091">
        <f>MOD(2091-1,101)</f>
        <v>70</v>
      </c>
    </row>
    <row r="2092">
      <c r="A2092">
        <f>MOD(2092-1,101)</f>
        <v>71</v>
      </c>
    </row>
    <row r="2093">
      <c r="A2093">
        <f>MOD(2093-1,101)</f>
        <v>72</v>
      </c>
    </row>
    <row r="2094">
      <c r="A2094">
        <f>MOD(2094-1,101)</f>
        <v>73</v>
      </c>
    </row>
    <row r="2095">
      <c r="A2095">
        <f>MOD(2095-1,101)</f>
        <v>74</v>
      </c>
    </row>
    <row r="2096">
      <c r="A2096">
        <f>MOD(2096-1,101)</f>
        <v>75</v>
      </c>
    </row>
    <row r="2097">
      <c r="A2097">
        <f>MOD(2097-1,101)</f>
        <v>76</v>
      </c>
    </row>
    <row r="2098">
      <c r="A2098">
        <f>MOD(2098-1,101)</f>
        <v>77</v>
      </c>
    </row>
    <row r="2099">
      <c r="A2099">
        <f>MOD(2099-1,101)</f>
        <v>78</v>
      </c>
    </row>
    <row r="2100">
      <c r="A2100">
        <f>MOD(2100-1,101)</f>
        <v>79</v>
      </c>
    </row>
    <row r="2101">
      <c r="A2101">
        <f>MOD(2101-1,101)</f>
        <v>80</v>
      </c>
    </row>
    <row r="2102">
      <c r="A2102">
        <f>MOD(2102-1,101)</f>
        <v>81</v>
      </c>
    </row>
    <row r="2103">
      <c r="A2103">
        <f>MOD(2103-1,101)</f>
        <v>82</v>
      </c>
    </row>
    <row r="2104">
      <c r="A2104">
        <f>MOD(2104-1,101)</f>
        <v>83</v>
      </c>
    </row>
    <row r="2105">
      <c r="A2105">
        <f>MOD(2105-1,101)</f>
        <v>84</v>
      </c>
    </row>
    <row r="2106">
      <c r="A2106">
        <f>MOD(2106-1,101)</f>
        <v>85</v>
      </c>
    </row>
    <row r="2107">
      <c r="A2107">
        <f>MOD(2107-1,101)</f>
        <v>86</v>
      </c>
    </row>
    <row r="2108">
      <c r="A2108">
        <f>MOD(2108-1,101)</f>
        <v>87</v>
      </c>
    </row>
    <row r="2109">
      <c r="A2109">
        <f>MOD(2109-1,101)</f>
        <v>88</v>
      </c>
    </row>
    <row r="2110">
      <c r="A2110">
        <f>MOD(2110-1,101)</f>
        <v>89</v>
      </c>
    </row>
    <row r="2111">
      <c r="A2111">
        <f>MOD(2111-1,101)</f>
        <v>90</v>
      </c>
    </row>
    <row r="2112">
      <c r="A2112">
        <f>MOD(2112-1,101)</f>
        <v>91</v>
      </c>
    </row>
    <row r="2113">
      <c r="A2113">
        <f>MOD(2113-1,101)</f>
        <v>92</v>
      </c>
    </row>
    <row r="2114">
      <c r="A2114">
        <f>MOD(2114-1,101)</f>
        <v>93</v>
      </c>
    </row>
    <row r="2115">
      <c r="A2115">
        <f>MOD(2115-1,101)</f>
        <v>94</v>
      </c>
    </row>
    <row r="2116">
      <c r="A2116">
        <f>MOD(2116-1,101)</f>
        <v>95</v>
      </c>
    </row>
    <row r="2117">
      <c r="A2117">
        <f>MOD(2117-1,101)</f>
        <v>96</v>
      </c>
    </row>
    <row r="2118">
      <c r="A2118">
        <f>MOD(2118-1,101)</f>
        <v>97</v>
      </c>
    </row>
    <row r="2119">
      <c r="A2119">
        <f>MOD(2119-1,101)</f>
        <v>98</v>
      </c>
    </row>
    <row r="2120">
      <c r="A2120">
        <f>MOD(2120-1,101)</f>
        <v>99</v>
      </c>
    </row>
    <row r="2121">
      <c r="A2121">
        <f>MOD(2121-1,101)</f>
        <v>100</v>
      </c>
    </row>
    <row r="2122">
      <c r="A2122">
        <f>MOD(2122-1,101)</f>
        <v>0</v>
      </c>
    </row>
    <row r="2123">
      <c r="A2123">
        <f>MOD(2123-1,101)</f>
        <v>1</v>
      </c>
    </row>
    <row r="2124">
      <c r="A2124">
        <f>MOD(2124-1,101)</f>
        <v>2</v>
      </c>
    </row>
    <row r="2125">
      <c r="A2125">
        <f>MOD(2125-1,101)</f>
        <v>3</v>
      </c>
    </row>
    <row r="2126">
      <c r="A2126">
        <f>MOD(2126-1,101)</f>
        <v>4</v>
      </c>
    </row>
    <row r="2127">
      <c r="A2127">
        <f>MOD(2127-1,101)</f>
        <v>5</v>
      </c>
    </row>
    <row r="2128">
      <c r="A2128">
        <f>MOD(2128-1,101)</f>
        <v>6</v>
      </c>
    </row>
    <row r="2129">
      <c r="A2129">
        <f>MOD(2129-1,101)</f>
        <v>7</v>
      </c>
    </row>
    <row r="2130">
      <c r="A2130">
        <f>MOD(2130-1,101)</f>
        <v>8</v>
      </c>
    </row>
    <row r="2131">
      <c r="A2131">
        <f>MOD(2131-1,101)</f>
        <v>9</v>
      </c>
    </row>
    <row r="2132">
      <c r="A2132">
        <f>MOD(2132-1,101)</f>
        <v>10</v>
      </c>
    </row>
    <row r="2133">
      <c r="A2133">
        <f>MOD(2133-1,101)</f>
        <v>11</v>
      </c>
    </row>
    <row r="2134">
      <c r="A2134">
        <f>MOD(2134-1,101)</f>
        <v>12</v>
      </c>
    </row>
    <row r="2135">
      <c r="A2135">
        <f>MOD(2135-1,101)</f>
        <v>13</v>
      </c>
    </row>
    <row r="2136">
      <c r="A2136">
        <f>MOD(2136-1,101)</f>
        <v>14</v>
      </c>
    </row>
    <row r="2137">
      <c r="A2137">
        <f>MOD(2137-1,101)</f>
        <v>15</v>
      </c>
    </row>
    <row r="2138">
      <c r="A2138">
        <f>MOD(2138-1,101)</f>
        <v>16</v>
      </c>
    </row>
    <row r="2139">
      <c r="A2139">
        <f>MOD(2139-1,101)</f>
        <v>17</v>
      </c>
    </row>
    <row r="2140">
      <c r="A2140">
        <f>MOD(2140-1,101)</f>
        <v>18</v>
      </c>
    </row>
    <row r="2141">
      <c r="A2141">
        <f>MOD(2141-1,101)</f>
        <v>19</v>
      </c>
    </row>
    <row r="2142">
      <c r="A2142">
        <f>MOD(2142-1,101)</f>
        <v>20</v>
      </c>
    </row>
    <row r="2143">
      <c r="A2143">
        <f>MOD(2143-1,101)</f>
        <v>21</v>
      </c>
    </row>
    <row r="2144">
      <c r="A2144">
        <f>MOD(2144-1,101)</f>
        <v>22</v>
      </c>
    </row>
    <row r="2145">
      <c r="A2145">
        <f>MOD(2145-1,101)</f>
        <v>23</v>
      </c>
    </row>
    <row r="2146">
      <c r="A2146">
        <f>MOD(2146-1,101)</f>
        <v>24</v>
      </c>
    </row>
    <row r="2147">
      <c r="A2147">
        <f>MOD(2147-1,101)</f>
        <v>25</v>
      </c>
    </row>
    <row r="2148">
      <c r="A2148">
        <f>MOD(2148-1,101)</f>
        <v>26</v>
      </c>
    </row>
    <row r="2149">
      <c r="A2149">
        <f>MOD(2149-1,101)</f>
        <v>27</v>
      </c>
    </row>
    <row r="2150">
      <c r="A2150">
        <f>MOD(2150-1,101)</f>
        <v>28</v>
      </c>
    </row>
    <row r="2151">
      <c r="A2151">
        <f>MOD(2151-1,101)</f>
        <v>29</v>
      </c>
    </row>
    <row r="2152">
      <c r="A2152">
        <f>MOD(2152-1,101)</f>
        <v>30</v>
      </c>
    </row>
    <row r="2153">
      <c r="A2153">
        <f>MOD(2153-1,101)</f>
        <v>31</v>
      </c>
    </row>
    <row r="2154">
      <c r="A2154">
        <f>MOD(2154-1,101)</f>
        <v>32</v>
      </c>
    </row>
    <row r="2155">
      <c r="A2155">
        <f>MOD(2155-1,101)</f>
        <v>33</v>
      </c>
    </row>
    <row r="2156">
      <c r="A2156">
        <f>MOD(2156-1,101)</f>
        <v>34</v>
      </c>
    </row>
    <row r="2157">
      <c r="A2157">
        <f>MOD(2157-1,101)</f>
        <v>35</v>
      </c>
    </row>
    <row r="2158">
      <c r="A2158">
        <f>MOD(2158-1,101)</f>
        <v>36</v>
      </c>
    </row>
    <row r="2159">
      <c r="A2159">
        <f>MOD(2159-1,101)</f>
        <v>37</v>
      </c>
    </row>
    <row r="2160">
      <c r="A2160">
        <f>MOD(2160-1,101)</f>
        <v>38</v>
      </c>
    </row>
    <row r="2161">
      <c r="A2161">
        <f>MOD(2161-1,101)</f>
        <v>39</v>
      </c>
    </row>
    <row r="2162">
      <c r="A2162">
        <f>MOD(2162-1,101)</f>
        <v>40</v>
      </c>
    </row>
    <row r="2163">
      <c r="A2163">
        <f>MOD(2163-1,101)</f>
        <v>41</v>
      </c>
    </row>
    <row r="2164">
      <c r="A2164">
        <f>MOD(2164-1,101)</f>
        <v>42</v>
      </c>
    </row>
    <row r="2165">
      <c r="A2165">
        <f>MOD(2165-1,101)</f>
        <v>43</v>
      </c>
    </row>
    <row r="2166">
      <c r="A2166">
        <f>MOD(2166-1,101)</f>
        <v>44</v>
      </c>
    </row>
    <row r="2167">
      <c r="A2167">
        <f>MOD(2167-1,101)</f>
        <v>45</v>
      </c>
    </row>
    <row r="2168">
      <c r="A2168">
        <f>MOD(2168-1,101)</f>
        <v>46</v>
      </c>
    </row>
    <row r="2169">
      <c r="A2169">
        <f>MOD(2169-1,101)</f>
        <v>47</v>
      </c>
    </row>
    <row r="2170">
      <c r="A2170">
        <f>MOD(2170-1,101)</f>
        <v>48</v>
      </c>
    </row>
    <row r="2171">
      <c r="A2171">
        <f>MOD(2171-1,101)</f>
        <v>49</v>
      </c>
    </row>
    <row r="2172">
      <c r="A2172">
        <f>MOD(2172-1,101)</f>
        <v>50</v>
      </c>
    </row>
    <row r="2173">
      <c r="A2173">
        <f>MOD(2173-1,101)</f>
        <v>51</v>
      </c>
    </row>
    <row r="2174">
      <c r="A2174">
        <f>MOD(2174-1,101)</f>
        <v>52</v>
      </c>
    </row>
    <row r="2175">
      <c r="A2175">
        <f>MOD(2175-1,101)</f>
        <v>53</v>
      </c>
    </row>
    <row r="2176">
      <c r="A2176">
        <f>MOD(2176-1,101)</f>
        <v>54</v>
      </c>
    </row>
    <row r="2177">
      <c r="A2177">
        <f>MOD(2177-1,101)</f>
        <v>55</v>
      </c>
    </row>
    <row r="2178">
      <c r="A2178">
        <f>MOD(2178-1,101)</f>
        <v>56</v>
      </c>
    </row>
    <row r="2179">
      <c r="A2179">
        <f>MOD(2179-1,101)</f>
        <v>57</v>
      </c>
    </row>
    <row r="2180">
      <c r="A2180">
        <f>MOD(2180-1,101)</f>
        <v>58</v>
      </c>
    </row>
    <row r="2181">
      <c r="A2181">
        <f>MOD(2181-1,101)</f>
        <v>59</v>
      </c>
    </row>
    <row r="2182">
      <c r="A2182">
        <f>MOD(2182-1,101)</f>
        <v>60</v>
      </c>
    </row>
    <row r="2183">
      <c r="A2183">
        <f>MOD(2183-1,101)</f>
        <v>61</v>
      </c>
    </row>
    <row r="2184">
      <c r="A2184">
        <f>MOD(2184-1,101)</f>
        <v>62</v>
      </c>
    </row>
    <row r="2185">
      <c r="A2185">
        <f>MOD(2185-1,101)</f>
        <v>63</v>
      </c>
    </row>
    <row r="2186">
      <c r="A2186">
        <f>MOD(2186-1,101)</f>
        <v>64</v>
      </c>
    </row>
    <row r="2187">
      <c r="A2187">
        <f>MOD(2187-1,101)</f>
        <v>65</v>
      </c>
    </row>
    <row r="2188">
      <c r="A2188">
        <f>MOD(2188-1,101)</f>
        <v>66</v>
      </c>
    </row>
    <row r="2189">
      <c r="A2189">
        <f>MOD(2189-1,101)</f>
        <v>67</v>
      </c>
    </row>
    <row r="2190">
      <c r="A2190">
        <f>MOD(2190-1,101)</f>
        <v>68</v>
      </c>
    </row>
    <row r="2191">
      <c r="A2191">
        <f>MOD(2191-1,101)</f>
        <v>69</v>
      </c>
    </row>
    <row r="2192">
      <c r="A2192">
        <f>MOD(2192-1,101)</f>
        <v>70</v>
      </c>
    </row>
    <row r="2193">
      <c r="A2193">
        <f>MOD(2193-1,101)</f>
        <v>71</v>
      </c>
    </row>
    <row r="2194">
      <c r="A2194">
        <f>MOD(2194-1,101)</f>
        <v>72</v>
      </c>
    </row>
    <row r="2195">
      <c r="A2195">
        <f>MOD(2195-1,101)</f>
        <v>73</v>
      </c>
    </row>
    <row r="2196">
      <c r="A2196">
        <f>MOD(2196-1,101)</f>
        <v>74</v>
      </c>
    </row>
    <row r="2197">
      <c r="A2197">
        <f>MOD(2197-1,101)</f>
        <v>75</v>
      </c>
    </row>
    <row r="2198">
      <c r="A2198">
        <f>MOD(2198-1,101)</f>
        <v>76</v>
      </c>
    </row>
    <row r="2199">
      <c r="A2199">
        <f>MOD(2199-1,101)</f>
        <v>77</v>
      </c>
    </row>
    <row r="2200">
      <c r="A2200">
        <f>MOD(2200-1,101)</f>
        <v>78</v>
      </c>
    </row>
    <row r="2201">
      <c r="A2201">
        <f>MOD(2201-1,101)</f>
        <v>79</v>
      </c>
    </row>
    <row r="2202">
      <c r="A2202">
        <f>MOD(2202-1,101)</f>
        <v>80</v>
      </c>
    </row>
    <row r="2203">
      <c r="A2203">
        <f>MOD(2203-1,101)</f>
        <v>81</v>
      </c>
    </row>
    <row r="2204">
      <c r="A2204">
        <f>MOD(2204-1,101)</f>
        <v>82</v>
      </c>
    </row>
    <row r="2205">
      <c r="A2205">
        <f>MOD(2205-1,101)</f>
        <v>83</v>
      </c>
    </row>
    <row r="2206">
      <c r="A2206">
        <f>MOD(2206-1,101)</f>
        <v>84</v>
      </c>
    </row>
    <row r="2207">
      <c r="A2207">
        <f>MOD(2207-1,101)</f>
        <v>85</v>
      </c>
    </row>
    <row r="2208">
      <c r="A2208">
        <f>MOD(2208-1,101)</f>
        <v>86</v>
      </c>
    </row>
    <row r="2209">
      <c r="A2209">
        <f>MOD(2209-1,101)</f>
        <v>87</v>
      </c>
    </row>
    <row r="2210">
      <c r="A2210">
        <f>MOD(2210-1,101)</f>
        <v>88</v>
      </c>
    </row>
    <row r="2211">
      <c r="A2211">
        <f>MOD(2211-1,101)</f>
        <v>89</v>
      </c>
    </row>
    <row r="2212">
      <c r="A2212">
        <f>MOD(2212-1,101)</f>
        <v>90</v>
      </c>
    </row>
    <row r="2213">
      <c r="A2213">
        <f>MOD(2213-1,101)</f>
        <v>91</v>
      </c>
    </row>
    <row r="2214">
      <c r="A2214">
        <f>MOD(2214-1,101)</f>
        <v>92</v>
      </c>
    </row>
    <row r="2215">
      <c r="A2215">
        <f>MOD(2215-1,101)</f>
        <v>93</v>
      </c>
    </row>
    <row r="2216">
      <c r="A2216">
        <f>MOD(2216-1,101)</f>
        <v>94</v>
      </c>
    </row>
    <row r="2217">
      <c r="A2217">
        <f>MOD(2217-1,101)</f>
        <v>95</v>
      </c>
    </row>
    <row r="2218">
      <c r="A2218">
        <f>MOD(2218-1,101)</f>
        <v>96</v>
      </c>
    </row>
    <row r="2219">
      <c r="A2219">
        <f>MOD(2219-1,101)</f>
        <v>97</v>
      </c>
    </row>
    <row r="2220">
      <c r="A2220">
        <f>MOD(2220-1,101)</f>
        <v>98</v>
      </c>
    </row>
    <row r="2221">
      <c r="A2221">
        <f>MOD(2221-1,101)</f>
        <v>99</v>
      </c>
    </row>
    <row r="2222">
      <c r="A2222">
        <f>MOD(2222-1,101)</f>
        <v>100</v>
      </c>
    </row>
    <row r="2223">
      <c r="A2223">
        <f>MOD(2223-1,101)</f>
        <v>0</v>
      </c>
    </row>
    <row r="2224">
      <c r="A2224">
        <f>MOD(2224-1,101)</f>
        <v>1</v>
      </c>
    </row>
    <row r="2225">
      <c r="A2225">
        <f>MOD(2225-1,101)</f>
        <v>2</v>
      </c>
    </row>
    <row r="2226">
      <c r="A2226">
        <f>MOD(2226-1,101)</f>
        <v>3</v>
      </c>
    </row>
    <row r="2227">
      <c r="A2227">
        <f>MOD(2227-1,101)</f>
        <v>4</v>
      </c>
    </row>
    <row r="2228">
      <c r="A2228">
        <f>MOD(2228-1,101)</f>
        <v>5</v>
      </c>
    </row>
    <row r="2229">
      <c r="A2229">
        <f>MOD(2229-1,101)</f>
        <v>6</v>
      </c>
    </row>
    <row r="2230">
      <c r="A2230">
        <f>MOD(2230-1,101)</f>
        <v>7</v>
      </c>
    </row>
    <row r="2231">
      <c r="A2231">
        <f>MOD(2231-1,101)</f>
        <v>8</v>
      </c>
    </row>
    <row r="2232">
      <c r="A2232">
        <f>MOD(2232-1,101)</f>
        <v>9</v>
      </c>
    </row>
    <row r="2233">
      <c r="A2233">
        <f>MOD(2233-1,101)</f>
        <v>10</v>
      </c>
    </row>
    <row r="2234">
      <c r="A2234">
        <f>MOD(2234-1,101)</f>
        <v>11</v>
      </c>
    </row>
    <row r="2235">
      <c r="A2235">
        <f>MOD(2235-1,101)</f>
        <v>12</v>
      </c>
    </row>
    <row r="2236">
      <c r="A2236">
        <f>MOD(2236-1,101)</f>
        <v>13</v>
      </c>
    </row>
    <row r="2237">
      <c r="A2237">
        <f>MOD(2237-1,101)</f>
        <v>14</v>
      </c>
    </row>
    <row r="2238">
      <c r="A2238">
        <f>MOD(2238-1,101)</f>
        <v>15</v>
      </c>
    </row>
    <row r="2239">
      <c r="A2239">
        <f>MOD(2239-1,101)</f>
        <v>16</v>
      </c>
    </row>
    <row r="2240">
      <c r="A2240">
        <f>MOD(2240-1,101)</f>
        <v>17</v>
      </c>
    </row>
    <row r="2241">
      <c r="A2241">
        <f>MOD(2241-1,101)</f>
        <v>18</v>
      </c>
    </row>
    <row r="2242">
      <c r="A2242">
        <f>MOD(2242-1,101)</f>
        <v>19</v>
      </c>
    </row>
    <row r="2243">
      <c r="A2243">
        <f>MOD(2243-1,101)</f>
        <v>20</v>
      </c>
    </row>
    <row r="2244">
      <c r="A2244">
        <f>MOD(2244-1,101)</f>
        <v>21</v>
      </c>
    </row>
    <row r="2245">
      <c r="A2245">
        <f>MOD(2245-1,101)</f>
        <v>22</v>
      </c>
    </row>
    <row r="2246">
      <c r="A2246">
        <f>MOD(2246-1,101)</f>
        <v>23</v>
      </c>
    </row>
    <row r="2247">
      <c r="A2247">
        <f>MOD(2247-1,101)</f>
        <v>24</v>
      </c>
    </row>
    <row r="2248">
      <c r="A2248">
        <f>MOD(2248-1,101)</f>
        <v>25</v>
      </c>
    </row>
    <row r="2249">
      <c r="A2249">
        <f>MOD(2249-1,101)</f>
        <v>26</v>
      </c>
    </row>
    <row r="2250">
      <c r="A2250">
        <f>MOD(2250-1,101)</f>
        <v>27</v>
      </c>
    </row>
    <row r="2251">
      <c r="A2251">
        <f>MOD(2251-1,101)</f>
        <v>28</v>
      </c>
    </row>
    <row r="2252">
      <c r="A2252">
        <f>MOD(2252-1,101)</f>
        <v>29</v>
      </c>
    </row>
    <row r="2253">
      <c r="A2253">
        <f>MOD(2253-1,101)</f>
        <v>30</v>
      </c>
    </row>
    <row r="2254">
      <c r="A2254">
        <f>MOD(2254-1,101)</f>
        <v>31</v>
      </c>
    </row>
    <row r="2255">
      <c r="A2255">
        <f>MOD(2255-1,101)</f>
        <v>32</v>
      </c>
    </row>
    <row r="2256">
      <c r="A2256">
        <f>MOD(2256-1,101)</f>
        <v>33</v>
      </c>
    </row>
    <row r="2257">
      <c r="A2257">
        <f>MOD(2257-1,101)</f>
        <v>34</v>
      </c>
    </row>
    <row r="2258">
      <c r="A2258">
        <f>MOD(2258-1,101)</f>
        <v>35</v>
      </c>
    </row>
    <row r="2259">
      <c r="A2259">
        <f>MOD(2259-1,101)</f>
        <v>36</v>
      </c>
    </row>
    <row r="2260">
      <c r="A2260">
        <f>MOD(2260-1,101)</f>
        <v>37</v>
      </c>
    </row>
    <row r="2261">
      <c r="A2261">
        <f>MOD(2261-1,101)</f>
        <v>38</v>
      </c>
    </row>
    <row r="2262">
      <c r="A2262">
        <f>MOD(2262-1,101)</f>
        <v>39</v>
      </c>
    </row>
    <row r="2263">
      <c r="A2263">
        <f>MOD(2263-1,101)</f>
        <v>40</v>
      </c>
    </row>
    <row r="2264">
      <c r="A2264">
        <f>MOD(2264-1,101)</f>
        <v>41</v>
      </c>
    </row>
    <row r="2265">
      <c r="A2265">
        <f>MOD(2265-1,101)</f>
        <v>42</v>
      </c>
    </row>
    <row r="2266">
      <c r="A2266">
        <f>MOD(2266-1,101)</f>
        <v>43</v>
      </c>
    </row>
    <row r="2267">
      <c r="A2267">
        <f>MOD(2267-1,101)</f>
        <v>44</v>
      </c>
    </row>
    <row r="2268">
      <c r="A2268">
        <f>MOD(2268-1,101)</f>
        <v>45</v>
      </c>
    </row>
    <row r="2269">
      <c r="A2269">
        <f>MOD(2269-1,101)</f>
        <v>46</v>
      </c>
    </row>
    <row r="2270">
      <c r="A2270">
        <f>MOD(2270-1,101)</f>
        <v>47</v>
      </c>
    </row>
    <row r="2271">
      <c r="A2271">
        <f>MOD(2271-1,101)</f>
        <v>48</v>
      </c>
    </row>
    <row r="2272">
      <c r="A2272">
        <f>MOD(2272-1,101)</f>
        <v>49</v>
      </c>
    </row>
    <row r="2273">
      <c r="A2273">
        <f>MOD(2273-1,101)</f>
        <v>50</v>
      </c>
    </row>
    <row r="2274">
      <c r="A2274">
        <f>MOD(2274-1,101)</f>
        <v>51</v>
      </c>
    </row>
    <row r="2275">
      <c r="A2275">
        <f>MOD(2275-1,101)</f>
        <v>52</v>
      </c>
    </row>
    <row r="2276">
      <c r="A2276">
        <f>MOD(2276-1,101)</f>
        <v>53</v>
      </c>
    </row>
    <row r="2277">
      <c r="A2277">
        <f>MOD(2277-1,101)</f>
        <v>54</v>
      </c>
    </row>
    <row r="2278">
      <c r="A2278">
        <f>MOD(2278-1,101)</f>
        <v>55</v>
      </c>
    </row>
    <row r="2279">
      <c r="A2279">
        <f>MOD(2279-1,101)</f>
        <v>56</v>
      </c>
    </row>
    <row r="2280">
      <c r="A2280">
        <f>MOD(2280-1,101)</f>
        <v>57</v>
      </c>
    </row>
    <row r="2281">
      <c r="A2281">
        <f>MOD(2281-1,101)</f>
        <v>58</v>
      </c>
    </row>
    <row r="2282">
      <c r="A2282">
        <f>MOD(2282-1,101)</f>
        <v>59</v>
      </c>
    </row>
    <row r="2283">
      <c r="A2283">
        <f>MOD(2283-1,101)</f>
        <v>60</v>
      </c>
    </row>
    <row r="2284">
      <c r="A2284">
        <f>MOD(2284-1,101)</f>
        <v>61</v>
      </c>
    </row>
    <row r="2285">
      <c r="A2285">
        <f>MOD(2285-1,101)</f>
        <v>62</v>
      </c>
    </row>
    <row r="2286">
      <c r="A2286">
        <f>MOD(2286-1,101)</f>
        <v>63</v>
      </c>
    </row>
    <row r="2287">
      <c r="A2287">
        <f>MOD(2287-1,101)</f>
        <v>64</v>
      </c>
    </row>
    <row r="2288">
      <c r="A2288">
        <f>MOD(2288-1,101)</f>
        <v>65</v>
      </c>
    </row>
    <row r="2289">
      <c r="A2289">
        <f>MOD(2289-1,101)</f>
        <v>66</v>
      </c>
    </row>
    <row r="2290">
      <c r="A2290">
        <f>MOD(2290-1,101)</f>
        <v>67</v>
      </c>
    </row>
    <row r="2291">
      <c r="A2291">
        <f>MOD(2291-1,101)</f>
        <v>68</v>
      </c>
    </row>
    <row r="2292">
      <c r="A2292">
        <f>MOD(2292-1,101)</f>
        <v>69</v>
      </c>
    </row>
    <row r="2293">
      <c r="A2293">
        <f>MOD(2293-1,101)</f>
        <v>70</v>
      </c>
    </row>
    <row r="2294">
      <c r="A2294">
        <f>MOD(2294-1,101)</f>
        <v>71</v>
      </c>
    </row>
    <row r="2295">
      <c r="A2295">
        <f>MOD(2295-1,101)</f>
        <v>72</v>
      </c>
    </row>
    <row r="2296">
      <c r="A2296">
        <f>MOD(2296-1,101)</f>
        <v>73</v>
      </c>
    </row>
    <row r="2297">
      <c r="A2297">
        <f>MOD(2297-1,101)</f>
        <v>74</v>
      </c>
    </row>
    <row r="2298">
      <c r="A2298">
        <f>MOD(2298-1,101)</f>
        <v>75</v>
      </c>
    </row>
    <row r="2299">
      <c r="A2299">
        <f>MOD(2299-1,101)</f>
        <v>76</v>
      </c>
    </row>
    <row r="2300">
      <c r="A2300">
        <f>MOD(2300-1,101)</f>
        <v>77</v>
      </c>
    </row>
    <row r="2301">
      <c r="A2301">
        <f>MOD(2301-1,101)</f>
        <v>78</v>
      </c>
    </row>
    <row r="2302">
      <c r="A2302">
        <f>MOD(2302-1,101)</f>
        <v>79</v>
      </c>
    </row>
    <row r="2303">
      <c r="A2303">
        <f>MOD(2303-1,101)</f>
        <v>80</v>
      </c>
    </row>
    <row r="2304">
      <c r="A2304">
        <f>MOD(2304-1,101)</f>
        <v>81</v>
      </c>
    </row>
    <row r="2305">
      <c r="A2305">
        <f>MOD(2305-1,101)</f>
        <v>82</v>
      </c>
    </row>
    <row r="2306">
      <c r="A2306">
        <f>MOD(2306-1,101)</f>
        <v>83</v>
      </c>
    </row>
    <row r="2307">
      <c r="A2307">
        <f>MOD(2307-1,101)</f>
        <v>84</v>
      </c>
    </row>
    <row r="2308">
      <c r="A2308">
        <f>MOD(2308-1,101)</f>
        <v>85</v>
      </c>
    </row>
    <row r="2309">
      <c r="A2309">
        <f>MOD(2309-1,101)</f>
        <v>86</v>
      </c>
    </row>
    <row r="2310">
      <c r="A2310">
        <f>MOD(2310-1,101)</f>
        <v>87</v>
      </c>
    </row>
    <row r="2311">
      <c r="A2311">
        <f>MOD(2311-1,101)</f>
        <v>88</v>
      </c>
    </row>
    <row r="2312">
      <c r="A2312">
        <f>MOD(2312-1,101)</f>
        <v>89</v>
      </c>
    </row>
    <row r="2313">
      <c r="A2313">
        <f>MOD(2313-1,101)</f>
        <v>90</v>
      </c>
    </row>
    <row r="2314">
      <c r="A2314">
        <f>MOD(2314-1,101)</f>
        <v>91</v>
      </c>
    </row>
    <row r="2315">
      <c r="A2315">
        <f>MOD(2315-1,101)</f>
        <v>92</v>
      </c>
    </row>
    <row r="2316">
      <c r="A2316">
        <f>MOD(2316-1,101)</f>
        <v>93</v>
      </c>
    </row>
    <row r="2317">
      <c r="A2317">
        <f>MOD(2317-1,101)</f>
        <v>94</v>
      </c>
    </row>
    <row r="2318">
      <c r="A2318">
        <f>MOD(2318-1,101)</f>
        <v>95</v>
      </c>
    </row>
    <row r="2319">
      <c r="A2319">
        <f>MOD(2319-1,101)</f>
        <v>96</v>
      </c>
    </row>
    <row r="2320">
      <c r="A2320">
        <f>MOD(2320-1,101)</f>
        <v>97</v>
      </c>
    </row>
    <row r="2321">
      <c r="A2321">
        <f>MOD(2321-1,101)</f>
        <v>98</v>
      </c>
    </row>
    <row r="2322">
      <c r="A2322">
        <f>MOD(2322-1,101)</f>
        <v>99</v>
      </c>
    </row>
    <row r="2323">
      <c r="A2323">
        <f>MOD(2323-1,101)</f>
        <v>100</v>
      </c>
    </row>
    <row r="2324">
      <c r="A2324">
        <f>MOD(2324-1,101)</f>
        <v>0</v>
      </c>
    </row>
    <row r="2325">
      <c r="A2325">
        <f>MOD(2325-1,101)</f>
        <v>1</v>
      </c>
    </row>
    <row r="2326">
      <c r="A2326">
        <f>MOD(2326-1,101)</f>
        <v>2</v>
      </c>
    </row>
    <row r="2327">
      <c r="A2327">
        <f>MOD(2327-1,101)</f>
        <v>3</v>
      </c>
    </row>
    <row r="2328">
      <c r="A2328">
        <f>MOD(2328-1,101)</f>
        <v>4</v>
      </c>
    </row>
    <row r="2329">
      <c r="A2329">
        <f>MOD(2329-1,101)</f>
        <v>5</v>
      </c>
    </row>
    <row r="2330">
      <c r="A2330">
        <f>MOD(2330-1,101)</f>
        <v>6</v>
      </c>
    </row>
    <row r="2331">
      <c r="A2331">
        <f>MOD(2331-1,101)</f>
        <v>7</v>
      </c>
    </row>
    <row r="2332">
      <c r="A2332">
        <f>MOD(2332-1,101)</f>
        <v>8</v>
      </c>
    </row>
    <row r="2333">
      <c r="A2333">
        <f>MOD(2333-1,101)</f>
        <v>9</v>
      </c>
    </row>
    <row r="2334">
      <c r="A2334">
        <f>MOD(2334-1,101)</f>
        <v>10</v>
      </c>
    </row>
    <row r="2335">
      <c r="A2335">
        <f>MOD(2335-1,101)</f>
        <v>11</v>
      </c>
    </row>
    <row r="2336">
      <c r="A2336">
        <f>MOD(2336-1,101)</f>
        <v>12</v>
      </c>
    </row>
    <row r="2337">
      <c r="A2337">
        <f>MOD(2337-1,101)</f>
        <v>13</v>
      </c>
    </row>
    <row r="2338">
      <c r="A2338">
        <f>MOD(2338-1,101)</f>
        <v>14</v>
      </c>
    </row>
    <row r="2339">
      <c r="A2339">
        <f>MOD(2339-1,101)</f>
        <v>15</v>
      </c>
    </row>
    <row r="2340">
      <c r="A2340">
        <f>MOD(2340-1,101)</f>
        <v>16</v>
      </c>
    </row>
    <row r="2341">
      <c r="A2341">
        <f>MOD(2341-1,101)</f>
        <v>17</v>
      </c>
    </row>
    <row r="2342">
      <c r="A2342">
        <f>MOD(2342-1,101)</f>
        <v>18</v>
      </c>
    </row>
    <row r="2343">
      <c r="A2343">
        <f>MOD(2343-1,101)</f>
        <v>19</v>
      </c>
    </row>
    <row r="2344">
      <c r="A2344">
        <f>MOD(2344-1,101)</f>
        <v>20</v>
      </c>
    </row>
    <row r="2345">
      <c r="A2345">
        <f>MOD(2345-1,101)</f>
        <v>21</v>
      </c>
    </row>
    <row r="2346">
      <c r="A2346">
        <f>MOD(2346-1,101)</f>
        <v>22</v>
      </c>
    </row>
    <row r="2347">
      <c r="A2347">
        <f>MOD(2347-1,101)</f>
        <v>23</v>
      </c>
    </row>
    <row r="2348">
      <c r="A2348">
        <f>MOD(2348-1,101)</f>
        <v>24</v>
      </c>
    </row>
    <row r="2349">
      <c r="A2349">
        <f>MOD(2349-1,101)</f>
        <v>25</v>
      </c>
    </row>
    <row r="2350">
      <c r="A2350">
        <f>MOD(2350-1,101)</f>
        <v>26</v>
      </c>
    </row>
    <row r="2351">
      <c r="A2351">
        <f>MOD(2351-1,101)</f>
        <v>27</v>
      </c>
    </row>
    <row r="2352">
      <c r="A2352">
        <f>MOD(2352-1,101)</f>
        <v>28</v>
      </c>
    </row>
    <row r="2353">
      <c r="A2353">
        <f>MOD(2353-1,101)</f>
        <v>29</v>
      </c>
    </row>
    <row r="2354">
      <c r="A2354">
        <f>MOD(2354-1,101)</f>
        <v>30</v>
      </c>
    </row>
    <row r="2355">
      <c r="A2355">
        <f>MOD(2355-1,101)</f>
        <v>31</v>
      </c>
    </row>
    <row r="2356">
      <c r="A2356">
        <f>MOD(2356-1,101)</f>
        <v>32</v>
      </c>
    </row>
    <row r="2357">
      <c r="A2357">
        <f>MOD(2357-1,101)</f>
        <v>33</v>
      </c>
    </row>
    <row r="2358">
      <c r="A2358">
        <f>MOD(2358-1,101)</f>
        <v>34</v>
      </c>
    </row>
    <row r="2359">
      <c r="A2359">
        <f>MOD(2359-1,101)</f>
        <v>35</v>
      </c>
    </row>
    <row r="2360">
      <c r="A2360">
        <f>MOD(2360-1,101)</f>
        <v>36</v>
      </c>
    </row>
    <row r="2361">
      <c r="A2361">
        <f>MOD(2361-1,101)</f>
        <v>37</v>
      </c>
    </row>
    <row r="2362">
      <c r="A2362">
        <f>MOD(2362-1,101)</f>
        <v>38</v>
      </c>
    </row>
    <row r="2363">
      <c r="A2363">
        <f>MOD(2363-1,101)</f>
        <v>39</v>
      </c>
    </row>
    <row r="2364">
      <c r="A2364">
        <f>MOD(2364-1,101)</f>
        <v>40</v>
      </c>
    </row>
    <row r="2365">
      <c r="A2365">
        <f>MOD(2365-1,101)</f>
        <v>41</v>
      </c>
    </row>
    <row r="2366">
      <c r="A2366">
        <f>MOD(2366-1,101)</f>
        <v>42</v>
      </c>
    </row>
    <row r="2367">
      <c r="A2367">
        <f>MOD(2367-1,101)</f>
        <v>43</v>
      </c>
    </row>
    <row r="2368">
      <c r="A2368">
        <f>MOD(2368-1,101)</f>
        <v>44</v>
      </c>
    </row>
    <row r="2369">
      <c r="A2369">
        <f>MOD(2369-1,101)</f>
        <v>45</v>
      </c>
    </row>
    <row r="2370">
      <c r="A2370">
        <f>MOD(2370-1,101)</f>
        <v>46</v>
      </c>
    </row>
    <row r="2371">
      <c r="A2371">
        <f>MOD(2371-1,101)</f>
        <v>47</v>
      </c>
    </row>
    <row r="2372">
      <c r="A2372">
        <f>MOD(2372-1,101)</f>
        <v>48</v>
      </c>
    </row>
    <row r="2373">
      <c r="A2373">
        <f>MOD(2373-1,101)</f>
        <v>49</v>
      </c>
    </row>
    <row r="2374">
      <c r="A2374">
        <f>MOD(2374-1,101)</f>
        <v>50</v>
      </c>
    </row>
    <row r="2375">
      <c r="A2375">
        <f>MOD(2375-1,101)</f>
        <v>51</v>
      </c>
    </row>
    <row r="2376">
      <c r="A2376">
        <f>MOD(2376-1,101)</f>
        <v>52</v>
      </c>
    </row>
    <row r="2377">
      <c r="A2377">
        <f>MOD(2377-1,101)</f>
        <v>53</v>
      </c>
    </row>
    <row r="2378">
      <c r="A2378">
        <f>MOD(2378-1,101)</f>
        <v>54</v>
      </c>
    </row>
    <row r="2379">
      <c r="A2379">
        <f>MOD(2379-1,101)</f>
        <v>55</v>
      </c>
    </row>
    <row r="2380">
      <c r="A2380">
        <f>MOD(2380-1,101)</f>
        <v>56</v>
      </c>
    </row>
    <row r="2381">
      <c r="A2381">
        <f>MOD(2381-1,101)</f>
        <v>57</v>
      </c>
    </row>
    <row r="2382">
      <c r="A2382">
        <f>MOD(2382-1,101)</f>
        <v>58</v>
      </c>
    </row>
    <row r="2383">
      <c r="A2383">
        <f>MOD(2383-1,101)</f>
        <v>59</v>
      </c>
    </row>
    <row r="2384">
      <c r="A2384">
        <f>MOD(2384-1,101)</f>
        <v>60</v>
      </c>
    </row>
    <row r="2385">
      <c r="A2385">
        <f>MOD(2385-1,101)</f>
        <v>61</v>
      </c>
    </row>
    <row r="2386">
      <c r="A2386">
        <f>MOD(2386-1,101)</f>
        <v>62</v>
      </c>
    </row>
    <row r="2387">
      <c r="A2387">
        <f>MOD(2387-1,101)</f>
        <v>63</v>
      </c>
    </row>
    <row r="2388">
      <c r="A2388">
        <f>MOD(2388-1,101)</f>
        <v>64</v>
      </c>
    </row>
    <row r="2389">
      <c r="A2389">
        <f>MOD(2389-1,101)</f>
        <v>65</v>
      </c>
    </row>
    <row r="2390">
      <c r="A2390">
        <f>MOD(2390-1,101)</f>
        <v>66</v>
      </c>
    </row>
    <row r="2391">
      <c r="A2391">
        <f>MOD(2391-1,101)</f>
        <v>67</v>
      </c>
    </row>
    <row r="2392">
      <c r="A2392">
        <f>MOD(2392-1,101)</f>
        <v>68</v>
      </c>
    </row>
    <row r="2393">
      <c r="A2393">
        <f>MOD(2393-1,101)</f>
        <v>69</v>
      </c>
    </row>
    <row r="2394">
      <c r="A2394">
        <f>MOD(2394-1,101)</f>
        <v>70</v>
      </c>
    </row>
    <row r="2395">
      <c r="A2395">
        <f>MOD(2395-1,101)</f>
        <v>71</v>
      </c>
    </row>
    <row r="2396">
      <c r="A2396">
        <f>MOD(2396-1,101)</f>
        <v>72</v>
      </c>
    </row>
    <row r="2397">
      <c r="A2397">
        <f>MOD(2397-1,101)</f>
        <v>73</v>
      </c>
    </row>
    <row r="2398">
      <c r="A2398">
        <f>MOD(2398-1,101)</f>
        <v>74</v>
      </c>
    </row>
    <row r="2399">
      <c r="A2399">
        <f>MOD(2399-1,101)</f>
        <v>75</v>
      </c>
    </row>
    <row r="2400">
      <c r="A2400">
        <f>MOD(2400-1,101)</f>
        <v>76</v>
      </c>
    </row>
    <row r="2401">
      <c r="A2401">
        <f>MOD(2401-1,101)</f>
        <v>77</v>
      </c>
    </row>
    <row r="2402">
      <c r="A2402">
        <f>MOD(2402-1,101)</f>
        <v>78</v>
      </c>
    </row>
    <row r="2403">
      <c r="A2403">
        <f>MOD(2403-1,101)</f>
        <v>79</v>
      </c>
    </row>
    <row r="2404">
      <c r="A2404">
        <f>MOD(2404-1,101)</f>
        <v>80</v>
      </c>
    </row>
    <row r="2405">
      <c r="A2405">
        <f>MOD(2405-1,101)</f>
        <v>81</v>
      </c>
    </row>
    <row r="2406">
      <c r="A2406">
        <f>MOD(2406-1,101)</f>
        <v>82</v>
      </c>
    </row>
    <row r="2407">
      <c r="A2407">
        <f>MOD(2407-1,101)</f>
        <v>83</v>
      </c>
    </row>
    <row r="2408">
      <c r="A2408">
        <f>MOD(2408-1,101)</f>
        <v>84</v>
      </c>
    </row>
    <row r="2409">
      <c r="A2409">
        <f>MOD(2409-1,101)</f>
        <v>85</v>
      </c>
    </row>
    <row r="2410">
      <c r="A2410">
        <f>MOD(2410-1,101)</f>
        <v>86</v>
      </c>
    </row>
    <row r="2411">
      <c r="A2411">
        <f>MOD(2411-1,101)</f>
        <v>87</v>
      </c>
    </row>
    <row r="2412">
      <c r="A2412">
        <f>MOD(2412-1,101)</f>
        <v>88</v>
      </c>
    </row>
    <row r="2413">
      <c r="A2413">
        <f>MOD(2413-1,101)</f>
        <v>89</v>
      </c>
    </row>
    <row r="2414">
      <c r="A2414">
        <f>MOD(2414-1,101)</f>
        <v>90</v>
      </c>
    </row>
    <row r="2415">
      <c r="A2415">
        <f>MOD(2415-1,101)</f>
        <v>91</v>
      </c>
    </row>
    <row r="2416">
      <c r="A2416">
        <f>MOD(2416-1,101)</f>
        <v>92</v>
      </c>
    </row>
    <row r="2417">
      <c r="A2417">
        <f>MOD(2417-1,101)</f>
        <v>93</v>
      </c>
    </row>
    <row r="2418">
      <c r="A2418">
        <f>MOD(2418-1,101)</f>
        <v>94</v>
      </c>
    </row>
    <row r="2419">
      <c r="A2419">
        <f>MOD(2419-1,101)</f>
        <v>95</v>
      </c>
    </row>
    <row r="2420">
      <c r="A2420">
        <f>MOD(2420-1,101)</f>
        <v>96</v>
      </c>
    </row>
    <row r="2421">
      <c r="A2421">
        <f>MOD(2421-1,101)</f>
        <v>97</v>
      </c>
    </row>
    <row r="2422">
      <c r="A2422">
        <f>MOD(2422-1,101)</f>
        <v>98</v>
      </c>
    </row>
    <row r="2423">
      <c r="A2423">
        <f>MOD(2423-1,101)</f>
        <v>99</v>
      </c>
    </row>
    <row r="2424">
      <c r="A2424">
        <f>MOD(2424-1,101)</f>
        <v>100</v>
      </c>
    </row>
    <row r="2425">
      <c r="A2425">
        <f>MOD(2425-1,101)</f>
        <v>0</v>
      </c>
    </row>
    <row r="2426">
      <c r="A2426">
        <f>MOD(2426-1,101)</f>
        <v>1</v>
      </c>
    </row>
    <row r="2427">
      <c r="A2427">
        <f>MOD(2427-1,101)</f>
        <v>2</v>
      </c>
    </row>
    <row r="2428">
      <c r="A2428">
        <f>MOD(2428-1,101)</f>
        <v>3</v>
      </c>
    </row>
    <row r="2429">
      <c r="A2429">
        <f>MOD(2429-1,101)</f>
        <v>4</v>
      </c>
    </row>
    <row r="2430">
      <c r="A2430">
        <f>MOD(2430-1,101)</f>
        <v>5</v>
      </c>
    </row>
    <row r="2431">
      <c r="A2431">
        <f>MOD(2431-1,101)</f>
        <v>6</v>
      </c>
    </row>
    <row r="2432">
      <c r="A2432">
        <f>MOD(2432-1,101)</f>
        <v>7</v>
      </c>
    </row>
    <row r="2433">
      <c r="A2433">
        <f>MOD(2433-1,101)</f>
        <v>8</v>
      </c>
    </row>
    <row r="2434">
      <c r="A2434">
        <f>MOD(2434-1,101)</f>
        <v>9</v>
      </c>
    </row>
    <row r="2435">
      <c r="A2435">
        <f>MOD(2435-1,101)</f>
        <v>10</v>
      </c>
    </row>
    <row r="2436">
      <c r="A2436">
        <f>MOD(2436-1,101)</f>
        <v>11</v>
      </c>
    </row>
    <row r="2437">
      <c r="A2437">
        <f>MOD(2437-1,101)</f>
        <v>12</v>
      </c>
    </row>
    <row r="2438">
      <c r="A2438">
        <f>MOD(2438-1,101)</f>
        <v>13</v>
      </c>
    </row>
    <row r="2439">
      <c r="A2439">
        <f>MOD(2439-1,101)</f>
        <v>14</v>
      </c>
    </row>
    <row r="2440">
      <c r="A2440">
        <f>MOD(2440-1,101)</f>
        <v>15</v>
      </c>
    </row>
    <row r="2441">
      <c r="A2441">
        <f>MOD(2441-1,101)</f>
        <v>16</v>
      </c>
    </row>
    <row r="2442">
      <c r="A2442">
        <f>MOD(2442-1,101)</f>
        <v>17</v>
      </c>
    </row>
    <row r="2443">
      <c r="A2443">
        <f>MOD(2443-1,101)</f>
        <v>18</v>
      </c>
    </row>
    <row r="2444">
      <c r="A2444">
        <f>MOD(2444-1,101)</f>
        <v>19</v>
      </c>
    </row>
    <row r="2445">
      <c r="A2445">
        <f>MOD(2445-1,101)</f>
        <v>20</v>
      </c>
    </row>
    <row r="2446">
      <c r="A2446">
        <f>MOD(2446-1,101)</f>
        <v>21</v>
      </c>
    </row>
    <row r="2447">
      <c r="A2447">
        <f>MOD(2447-1,101)</f>
        <v>22</v>
      </c>
    </row>
    <row r="2448">
      <c r="A2448">
        <f>MOD(2448-1,101)</f>
        <v>23</v>
      </c>
    </row>
    <row r="2449">
      <c r="A2449">
        <f>MOD(2449-1,101)</f>
        <v>24</v>
      </c>
    </row>
    <row r="2450">
      <c r="A2450">
        <f>MOD(2450-1,101)</f>
        <v>25</v>
      </c>
    </row>
    <row r="2451">
      <c r="A2451">
        <f>MOD(2451-1,101)</f>
        <v>26</v>
      </c>
    </row>
    <row r="2452">
      <c r="A2452">
        <f>MOD(2452-1,101)</f>
        <v>27</v>
      </c>
    </row>
    <row r="2453">
      <c r="A2453">
        <f>MOD(2453-1,101)</f>
        <v>28</v>
      </c>
    </row>
    <row r="2454">
      <c r="A2454">
        <f>MOD(2454-1,101)</f>
        <v>29</v>
      </c>
    </row>
    <row r="2455">
      <c r="A2455">
        <f>MOD(2455-1,101)</f>
        <v>30</v>
      </c>
    </row>
    <row r="2456">
      <c r="A2456">
        <f>MOD(2456-1,101)</f>
        <v>31</v>
      </c>
    </row>
    <row r="2457">
      <c r="A2457">
        <f>MOD(2457-1,101)</f>
        <v>32</v>
      </c>
    </row>
    <row r="2458">
      <c r="A2458">
        <f>MOD(2458-1,101)</f>
        <v>33</v>
      </c>
    </row>
    <row r="2459">
      <c r="A2459">
        <f>MOD(2459-1,101)</f>
        <v>34</v>
      </c>
    </row>
    <row r="2460">
      <c r="A2460">
        <f>MOD(2460-1,101)</f>
        <v>35</v>
      </c>
    </row>
    <row r="2461">
      <c r="A2461">
        <f>MOD(2461-1,101)</f>
        <v>36</v>
      </c>
    </row>
    <row r="2462">
      <c r="A2462">
        <f>MOD(2462-1,101)</f>
        <v>37</v>
      </c>
    </row>
    <row r="2463">
      <c r="A2463">
        <f>MOD(2463-1,101)</f>
        <v>38</v>
      </c>
    </row>
    <row r="2464">
      <c r="A2464">
        <f>MOD(2464-1,101)</f>
        <v>39</v>
      </c>
    </row>
    <row r="2465">
      <c r="A2465">
        <f>MOD(2465-1,101)</f>
        <v>40</v>
      </c>
    </row>
    <row r="2466">
      <c r="A2466">
        <f>MOD(2466-1,101)</f>
        <v>41</v>
      </c>
    </row>
    <row r="2467">
      <c r="A2467">
        <f>MOD(2467-1,101)</f>
        <v>42</v>
      </c>
    </row>
    <row r="2468">
      <c r="A2468">
        <f>MOD(2468-1,101)</f>
        <v>43</v>
      </c>
    </row>
    <row r="2469">
      <c r="A2469">
        <f>MOD(2469-1,101)</f>
        <v>44</v>
      </c>
    </row>
    <row r="2470">
      <c r="A2470">
        <f>MOD(2470-1,101)</f>
        <v>45</v>
      </c>
    </row>
    <row r="2471">
      <c r="A2471">
        <f>MOD(2471-1,101)</f>
        <v>46</v>
      </c>
    </row>
    <row r="2472">
      <c r="A2472">
        <f>MOD(2472-1,101)</f>
        <v>47</v>
      </c>
    </row>
    <row r="2473">
      <c r="A2473">
        <f>MOD(2473-1,101)</f>
        <v>48</v>
      </c>
    </row>
    <row r="2474">
      <c r="A2474">
        <f>MOD(2474-1,101)</f>
        <v>49</v>
      </c>
    </row>
    <row r="2475">
      <c r="A2475">
        <f>MOD(2475-1,101)</f>
        <v>50</v>
      </c>
    </row>
    <row r="2476">
      <c r="A2476">
        <f>MOD(2476-1,101)</f>
        <v>51</v>
      </c>
    </row>
    <row r="2477">
      <c r="A2477">
        <f>MOD(2477-1,101)</f>
        <v>52</v>
      </c>
    </row>
    <row r="2478">
      <c r="A2478">
        <f>MOD(2478-1,101)</f>
        <v>53</v>
      </c>
    </row>
    <row r="2479">
      <c r="A2479">
        <f>MOD(2479-1,101)</f>
        <v>54</v>
      </c>
    </row>
    <row r="2480">
      <c r="A2480">
        <f>MOD(2480-1,101)</f>
        <v>55</v>
      </c>
    </row>
    <row r="2481">
      <c r="A2481">
        <f>MOD(2481-1,101)</f>
        <v>56</v>
      </c>
    </row>
    <row r="2482">
      <c r="A2482">
        <f>MOD(2482-1,101)</f>
        <v>57</v>
      </c>
    </row>
    <row r="2483">
      <c r="A2483">
        <f>MOD(2483-1,101)</f>
        <v>58</v>
      </c>
    </row>
    <row r="2484">
      <c r="A2484">
        <f>MOD(2484-1,101)</f>
        <v>59</v>
      </c>
    </row>
    <row r="2485">
      <c r="A2485">
        <f>MOD(2485-1,101)</f>
        <v>60</v>
      </c>
    </row>
    <row r="2486">
      <c r="A2486">
        <f>MOD(2486-1,101)</f>
        <v>61</v>
      </c>
    </row>
    <row r="2487">
      <c r="A2487">
        <f>MOD(2487-1,101)</f>
        <v>62</v>
      </c>
    </row>
    <row r="2488">
      <c r="A2488">
        <f>MOD(2488-1,101)</f>
        <v>63</v>
      </c>
    </row>
    <row r="2489">
      <c r="A2489">
        <f>MOD(2489-1,101)</f>
        <v>64</v>
      </c>
    </row>
    <row r="2490">
      <c r="A2490">
        <f>MOD(2490-1,101)</f>
        <v>65</v>
      </c>
    </row>
    <row r="2491">
      <c r="A2491">
        <f>MOD(2491-1,101)</f>
        <v>66</v>
      </c>
    </row>
    <row r="2492">
      <c r="A2492">
        <f>MOD(2492-1,101)</f>
        <v>67</v>
      </c>
    </row>
    <row r="2493">
      <c r="A2493">
        <f>MOD(2493-1,101)</f>
        <v>68</v>
      </c>
    </row>
    <row r="2494">
      <c r="A2494">
        <f>MOD(2494-1,101)</f>
        <v>69</v>
      </c>
    </row>
    <row r="2495">
      <c r="A2495">
        <f>MOD(2495-1,101)</f>
        <v>70</v>
      </c>
    </row>
    <row r="2496">
      <c r="A2496">
        <f>MOD(2496-1,101)</f>
        <v>71</v>
      </c>
    </row>
    <row r="2497">
      <c r="A2497">
        <f>MOD(2497-1,101)</f>
        <v>72</v>
      </c>
    </row>
    <row r="2498">
      <c r="A2498">
        <f>MOD(2498-1,101)</f>
        <v>73</v>
      </c>
    </row>
    <row r="2499">
      <c r="A2499">
        <f>MOD(2499-1,101)</f>
        <v>74</v>
      </c>
    </row>
    <row r="2500">
      <c r="A2500">
        <f>MOD(2500-1,101)</f>
        <v>75</v>
      </c>
    </row>
    <row r="2501">
      <c r="A2501">
        <f>MOD(2501-1,101)</f>
        <v>76</v>
      </c>
    </row>
    <row r="2502">
      <c r="A2502">
        <f>MOD(2502-1,101)</f>
        <v>77</v>
      </c>
    </row>
    <row r="2503">
      <c r="A2503">
        <f>MOD(2503-1,101)</f>
        <v>78</v>
      </c>
    </row>
    <row r="2504">
      <c r="A2504">
        <f>MOD(2504-1,101)</f>
        <v>79</v>
      </c>
    </row>
    <row r="2505">
      <c r="A2505">
        <f>MOD(2505-1,101)</f>
        <v>80</v>
      </c>
    </row>
    <row r="2506">
      <c r="A2506">
        <f>MOD(2506-1,101)</f>
        <v>81</v>
      </c>
    </row>
    <row r="2507">
      <c r="A2507">
        <f>MOD(2507-1,101)</f>
        <v>82</v>
      </c>
    </row>
    <row r="2508">
      <c r="A2508">
        <f>MOD(2508-1,101)</f>
        <v>83</v>
      </c>
    </row>
    <row r="2509">
      <c r="A2509">
        <f>MOD(2509-1,101)</f>
        <v>84</v>
      </c>
    </row>
    <row r="2510">
      <c r="A2510">
        <f>MOD(2510-1,101)</f>
        <v>85</v>
      </c>
    </row>
    <row r="2511">
      <c r="A2511">
        <f>MOD(2511-1,101)</f>
        <v>86</v>
      </c>
    </row>
    <row r="2512">
      <c r="A2512">
        <f>MOD(2512-1,101)</f>
        <v>87</v>
      </c>
    </row>
    <row r="2513">
      <c r="A2513">
        <f>MOD(2513-1,101)</f>
        <v>88</v>
      </c>
    </row>
    <row r="2514">
      <c r="A2514">
        <f>MOD(2514-1,101)</f>
        <v>89</v>
      </c>
    </row>
    <row r="2515">
      <c r="A2515">
        <f>MOD(2515-1,101)</f>
        <v>90</v>
      </c>
    </row>
    <row r="2516">
      <c r="A2516">
        <f>MOD(2516-1,101)</f>
        <v>91</v>
      </c>
    </row>
    <row r="2517">
      <c r="A2517">
        <f>MOD(2517-1,101)</f>
        <v>92</v>
      </c>
    </row>
    <row r="2518">
      <c r="A2518">
        <f>MOD(2518-1,101)</f>
        <v>93</v>
      </c>
    </row>
    <row r="2519">
      <c r="A2519">
        <f>MOD(2519-1,101)</f>
        <v>94</v>
      </c>
    </row>
    <row r="2520">
      <c r="A2520">
        <f>MOD(2520-1,101)</f>
        <v>95</v>
      </c>
    </row>
    <row r="2521">
      <c r="A2521">
        <f>MOD(2521-1,101)</f>
        <v>96</v>
      </c>
    </row>
    <row r="2522">
      <c r="A2522">
        <f>MOD(2522-1,101)</f>
        <v>97</v>
      </c>
    </row>
    <row r="2523">
      <c r="A2523">
        <f>MOD(2523-1,101)</f>
        <v>98</v>
      </c>
    </row>
    <row r="2524">
      <c r="A2524">
        <f>MOD(2524-1,101)</f>
        <v>99</v>
      </c>
    </row>
    <row r="2525">
      <c r="A2525">
        <f>MOD(2525-1,101)</f>
        <v>100</v>
      </c>
    </row>
    <row r="2526">
      <c r="A2526">
        <f>MOD(2526-1,101)</f>
        <v>0</v>
      </c>
    </row>
    <row r="2527">
      <c r="A2527">
        <f>MOD(2527-1,101)</f>
        <v>1</v>
      </c>
    </row>
    <row r="2528">
      <c r="A2528">
        <f>MOD(2528-1,101)</f>
        <v>2</v>
      </c>
    </row>
    <row r="2529">
      <c r="A2529">
        <f>MOD(2529-1,101)</f>
        <v>3</v>
      </c>
    </row>
    <row r="2530">
      <c r="A2530">
        <f>MOD(2530-1,101)</f>
        <v>4</v>
      </c>
    </row>
    <row r="2531">
      <c r="A2531">
        <f>MOD(2531-1,101)</f>
        <v>5</v>
      </c>
    </row>
    <row r="2532">
      <c r="A2532">
        <f>MOD(2532-1,101)</f>
        <v>6</v>
      </c>
    </row>
    <row r="2533">
      <c r="A2533">
        <f>MOD(2533-1,101)</f>
        <v>7</v>
      </c>
    </row>
    <row r="2534">
      <c r="A2534">
        <f>MOD(2534-1,101)</f>
        <v>8</v>
      </c>
    </row>
    <row r="2535">
      <c r="A2535">
        <f>MOD(2535-1,101)</f>
        <v>9</v>
      </c>
    </row>
    <row r="2536">
      <c r="A2536">
        <f>MOD(2536-1,101)</f>
        <v>10</v>
      </c>
    </row>
    <row r="2537">
      <c r="A2537">
        <f>MOD(2537-1,101)</f>
        <v>11</v>
      </c>
    </row>
    <row r="2538">
      <c r="A2538">
        <f>MOD(2538-1,101)</f>
        <v>12</v>
      </c>
    </row>
    <row r="2539">
      <c r="A2539">
        <f>MOD(2539-1,101)</f>
        <v>13</v>
      </c>
    </row>
    <row r="2540">
      <c r="A2540">
        <f>MOD(2540-1,101)</f>
        <v>14</v>
      </c>
    </row>
    <row r="2541">
      <c r="A2541">
        <f>MOD(2541-1,101)</f>
        <v>15</v>
      </c>
    </row>
    <row r="2542">
      <c r="A2542">
        <f>MOD(2542-1,101)</f>
        <v>16</v>
      </c>
    </row>
    <row r="2543">
      <c r="A2543">
        <f>MOD(2543-1,101)</f>
        <v>17</v>
      </c>
    </row>
    <row r="2544">
      <c r="A2544">
        <f>MOD(2544-1,101)</f>
        <v>18</v>
      </c>
    </row>
    <row r="2545">
      <c r="A2545">
        <f>MOD(2545-1,101)</f>
        <v>19</v>
      </c>
    </row>
    <row r="2546">
      <c r="A2546">
        <f>MOD(2546-1,101)</f>
        <v>20</v>
      </c>
    </row>
    <row r="2547">
      <c r="A2547">
        <f>MOD(2547-1,101)</f>
        <v>21</v>
      </c>
    </row>
    <row r="2548">
      <c r="A2548">
        <f>MOD(2548-1,101)</f>
        <v>22</v>
      </c>
    </row>
    <row r="2549">
      <c r="A2549">
        <f>MOD(2549-1,101)</f>
        <v>23</v>
      </c>
    </row>
    <row r="2550">
      <c r="A2550">
        <f>MOD(2550-1,101)</f>
        <v>24</v>
      </c>
    </row>
    <row r="2551">
      <c r="A2551">
        <f>MOD(2551-1,101)</f>
        <v>25</v>
      </c>
    </row>
    <row r="2552">
      <c r="A2552">
        <f>MOD(2552-1,101)</f>
        <v>26</v>
      </c>
    </row>
    <row r="2553">
      <c r="A2553">
        <f>MOD(2553-1,101)</f>
        <v>27</v>
      </c>
    </row>
    <row r="2554">
      <c r="A2554">
        <f>MOD(2554-1,101)</f>
        <v>28</v>
      </c>
    </row>
    <row r="2555">
      <c r="A2555">
        <f>MOD(2555-1,101)</f>
        <v>29</v>
      </c>
    </row>
    <row r="2556">
      <c r="A2556">
        <f>MOD(2556-1,101)</f>
        <v>30</v>
      </c>
    </row>
    <row r="2557">
      <c r="A2557">
        <f>MOD(2557-1,101)</f>
        <v>31</v>
      </c>
    </row>
    <row r="2558">
      <c r="A2558">
        <f>MOD(2558-1,101)</f>
        <v>32</v>
      </c>
    </row>
    <row r="2559">
      <c r="A2559">
        <f>MOD(2559-1,101)</f>
        <v>33</v>
      </c>
    </row>
    <row r="2560">
      <c r="A2560">
        <f>MOD(2560-1,101)</f>
        <v>34</v>
      </c>
    </row>
    <row r="2561">
      <c r="A2561">
        <f>MOD(2561-1,101)</f>
        <v>35</v>
      </c>
    </row>
    <row r="2562">
      <c r="A2562">
        <f>MOD(2562-1,101)</f>
        <v>36</v>
      </c>
    </row>
    <row r="2563">
      <c r="A2563">
        <f>MOD(2563-1,101)</f>
        <v>37</v>
      </c>
    </row>
    <row r="2564">
      <c r="A2564">
        <f>MOD(2564-1,101)</f>
        <v>38</v>
      </c>
    </row>
    <row r="2565">
      <c r="A2565">
        <f>MOD(2565-1,101)</f>
        <v>39</v>
      </c>
    </row>
    <row r="2566">
      <c r="A2566">
        <f>MOD(2566-1,101)</f>
        <v>40</v>
      </c>
    </row>
    <row r="2567">
      <c r="A2567">
        <f>MOD(2567-1,101)</f>
        <v>41</v>
      </c>
    </row>
    <row r="2568">
      <c r="A2568">
        <f>MOD(2568-1,101)</f>
        <v>42</v>
      </c>
    </row>
    <row r="2569">
      <c r="A2569">
        <f>MOD(2569-1,101)</f>
        <v>43</v>
      </c>
    </row>
    <row r="2570">
      <c r="A2570">
        <f>MOD(2570-1,101)</f>
        <v>44</v>
      </c>
    </row>
    <row r="2571">
      <c r="A2571">
        <f>MOD(2571-1,101)</f>
        <v>45</v>
      </c>
    </row>
    <row r="2572">
      <c r="A2572">
        <f>MOD(2572-1,101)</f>
        <v>46</v>
      </c>
    </row>
    <row r="2573">
      <c r="A2573">
        <f>MOD(2573-1,101)</f>
        <v>47</v>
      </c>
    </row>
    <row r="2574">
      <c r="A2574">
        <f>MOD(2574-1,101)</f>
        <v>48</v>
      </c>
    </row>
    <row r="2575">
      <c r="A2575">
        <f>MOD(2575-1,101)</f>
        <v>49</v>
      </c>
    </row>
    <row r="2576">
      <c r="A2576">
        <f>MOD(2576-1,101)</f>
        <v>50</v>
      </c>
    </row>
    <row r="2577">
      <c r="A2577">
        <f>MOD(2577-1,101)</f>
        <v>51</v>
      </c>
    </row>
    <row r="2578">
      <c r="A2578">
        <f>MOD(2578-1,101)</f>
        <v>52</v>
      </c>
    </row>
    <row r="2579">
      <c r="A2579">
        <f>MOD(2579-1,101)</f>
        <v>53</v>
      </c>
    </row>
    <row r="2580">
      <c r="A2580">
        <f>MOD(2580-1,101)</f>
        <v>54</v>
      </c>
    </row>
    <row r="2581">
      <c r="A2581">
        <f>MOD(2581-1,101)</f>
        <v>55</v>
      </c>
    </row>
    <row r="2582">
      <c r="A2582">
        <f>MOD(2582-1,101)</f>
        <v>56</v>
      </c>
    </row>
    <row r="2583">
      <c r="A2583">
        <f>MOD(2583-1,101)</f>
        <v>57</v>
      </c>
    </row>
    <row r="2584">
      <c r="A2584">
        <f>MOD(2584-1,101)</f>
        <v>58</v>
      </c>
    </row>
    <row r="2585">
      <c r="A2585">
        <f>MOD(2585-1,101)</f>
        <v>59</v>
      </c>
    </row>
    <row r="2586">
      <c r="A2586">
        <f>MOD(2586-1,101)</f>
        <v>60</v>
      </c>
    </row>
    <row r="2587">
      <c r="A2587">
        <f>MOD(2587-1,101)</f>
        <v>61</v>
      </c>
    </row>
    <row r="2588">
      <c r="A2588">
        <f>MOD(2588-1,101)</f>
        <v>62</v>
      </c>
    </row>
    <row r="2589">
      <c r="A2589">
        <f>MOD(2589-1,101)</f>
        <v>63</v>
      </c>
    </row>
    <row r="2590">
      <c r="A2590">
        <f>MOD(2590-1,101)</f>
        <v>64</v>
      </c>
    </row>
    <row r="2591">
      <c r="A2591">
        <f>MOD(2591-1,101)</f>
        <v>65</v>
      </c>
    </row>
    <row r="2592">
      <c r="A2592">
        <f>MOD(2592-1,101)</f>
        <v>66</v>
      </c>
    </row>
    <row r="2593">
      <c r="A2593">
        <f>MOD(2593-1,101)</f>
        <v>67</v>
      </c>
    </row>
    <row r="2594">
      <c r="A2594">
        <f>MOD(2594-1,101)</f>
        <v>68</v>
      </c>
    </row>
    <row r="2595">
      <c r="A2595">
        <f>MOD(2595-1,101)</f>
        <v>69</v>
      </c>
    </row>
    <row r="2596">
      <c r="A2596">
        <f>MOD(2596-1,101)</f>
        <v>70</v>
      </c>
    </row>
    <row r="2597">
      <c r="A2597">
        <f>MOD(2597-1,101)</f>
        <v>71</v>
      </c>
    </row>
    <row r="2598">
      <c r="A2598">
        <f>MOD(2598-1,101)</f>
        <v>72</v>
      </c>
    </row>
    <row r="2599">
      <c r="A2599">
        <f>MOD(2599-1,101)</f>
        <v>73</v>
      </c>
    </row>
    <row r="2600">
      <c r="A2600">
        <f>MOD(2600-1,101)</f>
        <v>74</v>
      </c>
    </row>
    <row r="2601">
      <c r="A2601">
        <f>MOD(2601-1,101)</f>
        <v>75</v>
      </c>
    </row>
    <row r="2602">
      <c r="A2602">
        <f>MOD(2602-1,101)</f>
        <v>76</v>
      </c>
    </row>
    <row r="2603">
      <c r="A2603">
        <f>MOD(2603-1,101)</f>
        <v>77</v>
      </c>
    </row>
    <row r="2604">
      <c r="A2604">
        <f>MOD(2604-1,101)</f>
        <v>78</v>
      </c>
    </row>
    <row r="2605">
      <c r="A2605">
        <f>MOD(2605-1,101)</f>
        <v>79</v>
      </c>
    </row>
    <row r="2606">
      <c r="A2606">
        <f>MOD(2606-1,101)</f>
        <v>80</v>
      </c>
    </row>
    <row r="2607">
      <c r="A2607">
        <f>MOD(2607-1,101)</f>
        <v>81</v>
      </c>
    </row>
    <row r="2608">
      <c r="A2608">
        <f>MOD(2608-1,101)</f>
        <v>82</v>
      </c>
    </row>
    <row r="2609">
      <c r="A2609">
        <f>MOD(2609-1,101)</f>
        <v>83</v>
      </c>
    </row>
    <row r="2610">
      <c r="A2610">
        <f>MOD(2610-1,101)</f>
        <v>84</v>
      </c>
    </row>
    <row r="2611">
      <c r="A2611">
        <f>MOD(2611-1,101)</f>
        <v>85</v>
      </c>
    </row>
    <row r="2612">
      <c r="A2612">
        <f>MOD(2612-1,101)</f>
        <v>86</v>
      </c>
    </row>
    <row r="2613">
      <c r="A2613">
        <f>MOD(2613-1,101)</f>
        <v>87</v>
      </c>
    </row>
    <row r="2614">
      <c r="A2614">
        <f>MOD(2614-1,101)</f>
        <v>88</v>
      </c>
    </row>
    <row r="2615">
      <c r="A2615">
        <f>MOD(2615-1,101)</f>
        <v>89</v>
      </c>
    </row>
    <row r="2616">
      <c r="A2616">
        <f>MOD(2616-1,101)</f>
        <v>90</v>
      </c>
    </row>
    <row r="2617">
      <c r="A2617">
        <f>MOD(2617-1,101)</f>
        <v>91</v>
      </c>
    </row>
    <row r="2618">
      <c r="A2618">
        <f>MOD(2618-1,101)</f>
        <v>92</v>
      </c>
    </row>
    <row r="2619">
      <c r="A2619">
        <f>MOD(2619-1,101)</f>
        <v>93</v>
      </c>
    </row>
    <row r="2620">
      <c r="A2620">
        <f>MOD(2620-1,101)</f>
        <v>94</v>
      </c>
    </row>
    <row r="2621">
      <c r="A2621">
        <f>MOD(2621-1,101)</f>
        <v>95</v>
      </c>
    </row>
    <row r="2622">
      <c r="A2622">
        <f>MOD(2622-1,101)</f>
        <v>96</v>
      </c>
    </row>
    <row r="2623">
      <c r="A2623">
        <f>MOD(2623-1,101)</f>
        <v>97</v>
      </c>
    </row>
    <row r="2624">
      <c r="A2624">
        <f>MOD(2624-1,101)</f>
        <v>98</v>
      </c>
    </row>
    <row r="2625">
      <c r="A2625">
        <f>MOD(2625-1,101)</f>
        <v>99</v>
      </c>
    </row>
    <row r="2626">
      <c r="A2626">
        <f>MOD(2626-1,101)</f>
        <v>100</v>
      </c>
    </row>
    <row r="2627">
      <c r="A2627">
        <f>MOD(2627-1,101)</f>
        <v>0</v>
      </c>
    </row>
    <row r="2628">
      <c r="A2628">
        <f>MOD(2628-1,101)</f>
        <v>1</v>
      </c>
    </row>
    <row r="2629">
      <c r="A2629">
        <f>MOD(2629-1,101)</f>
        <v>2</v>
      </c>
    </row>
    <row r="2630">
      <c r="A2630">
        <f>MOD(2630-1,101)</f>
        <v>3</v>
      </c>
    </row>
    <row r="2631">
      <c r="A2631">
        <f>MOD(2631-1,101)</f>
        <v>4</v>
      </c>
    </row>
    <row r="2632">
      <c r="A2632">
        <f>MOD(2632-1,101)</f>
        <v>5</v>
      </c>
    </row>
    <row r="2633">
      <c r="A2633">
        <f>MOD(2633-1,101)</f>
        <v>6</v>
      </c>
    </row>
    <row r="2634">
      <c r="A2634">
        <f>MOD(2634-1,101)</f>
        <v>7</v>
      </c>
    </row>
    <row r="2635">
      <c r="A2635">
        <f>MOD(2635-1,101)</f>
        <v>8</v>
      </c>
    </row>
    <row r="2636">
      <c r="A2636">
        <f>MOD(2636-1,101)</f>
        <v>9</v>
      </c>
    </row>
    <row r="2637">
      <c r="A2637">
        <f>MOD(2637-1,101)</f>
        <v>10</v>
      </c>
    </row>
    <row r="2638">
      <c r="A2638">
        <f>MOD(2638-1,101)</f>
        <v>11</v>
      </c>
    </row>
    <row r="2639">
      <c r="A2639">
        <f>MOD(2639-1,101)</f>
        <v>12</v>
      </c>
    </row>
    <row r="2640">
      <c r="A2640">
        <f>MOD(2640-1,101)</f>
        <v>13</v>
      </c>
    </row>
    <row r="2641">
      <c r="A2641">
        <f>MOD(2641-1,101)</f>
        <v>14</v>
      </c>
    </row>
    <row r="2642">
      <c r="A2642">
        <f>MOD(2642-1,101)</f>
        <v>15</v>
      </c>
    </row>
    <row r="2643">
      <c r="A2643">
        <f>MOD(2643-1,101)</f>
        <v>16</v>
      </c>
    </row>
    <row r="2644">
      <c r="A2644">
        <f>MOD(2644-1,101)</f>
        <v>17</v>
      </c>
    </row>
    <row r="2645">
      <c r="A2645">
        <f>MOD(2645-1,101)</f>
        <v>18</v>
      </c>
    </row>
    <row r="2646">
      <c r="A2646">
        <f>MOD(2646-1,101)</f>
        <v>19</v>
      </c>
    </row>
    <row r="2647">
      <c r="A2647">
        <f>MOD(2647-1,101)</f>
        <v>20</v>
      </c>
    </row>
    <row r="2648">
      <c r="A2648">
        <f>MOD(2648-1,101)</f>
        <v>21</v>
      </c>
    </row>
    <row r="2649">
      <c r="A2649">
        <f>MOD(2649-1,101)</f>
        <v>22</v>
      </c>
    </row>
    <row r="2650">
      <c r="A2650">
        <f>MOD(2650-1,101)</f>
        <v>23</v>
      </c>
    </row>
    <row r="2651">
      <c r="A2651">
        <f>MOD(2651-1,101)</f>
        <v>24</v>
      </c>
    </row>
    <row r="2652">
      <c r="A2652">
        <f>MOD(2652-1,101)</f>
        <v>25</v>
      </c>
    </row>
    <row r="2653">
      <c r="A2653">
        <f>MOD(2653-1,101)</f>
        <v>26</v>
      </c>
    </row>
    <row r="2654">
      <c r="A2654">
        <f>MOD(2654-1,101)</f>
        <v>27</v>
      </c>
    </row>
    <row r="2655">
      <c r="A2655">
        <f>MOD(2655-1,101)</f>
        <v>28</v>
      </c>
    </row>
    <row r="2656">
      <c r="A2656">
        <f>MOD(2656-1,101)</f>
        <v>29</v>
      </c>
    </row>
    <row r="2657">
      <c r="A2657">
        <f>MOD(2657-1,101)</f>
        <v>30</v>
      </c>
    </row>
    <row r="2658">
      <c r="A2658">
        <f>MOD(2658-1,101)</f>
        <v>31</v>
      </c>
    </row>
    <row r="2659">
      <c r="A2659">
        <f>MOD(2659-1,101)</f>
        <v>32</v>
      </c>
    </row>
    <row r="2660">
      <c r="A2660">
        <f>MOD(2660-1,101)</f>
        <v>33</v>
      </c>
    </row>
    <row r="2661">
      <c r="A2661">
        <f>MOD(2661-1,101)</f>
        <v>34</v>
      </c>
    </row>
    <row r="2662">
      <c r="A2662">
        <f>MOD(2662-1,101)</f>
        <v>35</v>
      </c>
    </row>
    <row r="2663">
      <c r="A2663">
        <f>MOD(2663-1,101)</f>
        <v>36</v>
      </c>
    </row>
    <row r="2664">
      <c r="A2664">
        <f>MOD(2664-1,101)</f>
        <v>37</v>
      </c>
    </row>
    <row r="2665">
      <c r="A2665">
        <f>MOD(2665-1,101)</f>
        <v>38</v>
      </c>
    </row>
    <row r="2666">
      <c r="A2666">
        <f>MOD(2666-1,101)</f>
        <v>39</v>
      </c>
    </row>
    <row r="2667">
      <c r="A2667">
        <f>MOD(2667-1,101)</f>
        <v>40</v>
      </c>
    </row>
    <row r="2668">
      <c r="A2668">
        <f>MOD(2668-1,101)</f>
        <v>41</v>
      </c>
    </row>
    <row r="2669">
      <c r="A2669">
        <f>MOD(2669-1,101)</f>
        <v>42</v>
      </c>
    </row>
    <row r="2670">
      <c r="A2670">
        <f>MOD(2670-1,101)</f>
        <v>43</v>
      </c>
    </row>
    <row r="2671">
      <c r="A2671">
        <f>MOD(2671-1,101)</f>
        <v>44</v>
      </c>
    </row>
    <row r="2672">
      <c r="A2672">
        <f>MOD(2672-1,101)</f>
        <v>45</v>
      </c>
    </row>
    <row r="2673">
      <c r="A2673">
        <f>MOD(2673-1,101)</f>
        <v>46</v>
      </c>
    </row>
    <row r="2674">
      <c r="A2674">
        <f>MOD(2674-1,101)</f>
        <v>47</v>
      </c>
    </row>
    <row r="2675">
      <c r="A2675">
        <f>MOD(2675-1,101)</f>
        <v>48</v>
      </c>
    </row>
    <row r="2676">
      <c r="A2676">
        <f>MOD(2676-1,101)</f>
        <v>49</v>
      </c>
    </row>
    <row r="2677">
      <c r="A2677">
        <f>MOD(2677-1,101)</f>
        <v>50</v>
      </c>
    </row>
    <row r="2678">
      <c r="A2678">
        <f>MOD(2678-1,101)</f>
        <v>51</v>
      </c>
    </row>
    <row r="2679">
      <c r="A2679">
        <f>MOD(2679-1,101)</f>
        <v>52</v>
      </c>
    </row>
    <row r="2680">
      <c r="A2680">
        <f>MOD(2680-1,101)</f>
        <v>53</v>
      </c>
    </row>
    <row r="2681">
      <c r="A2681">
        <f>MOD(2681-1,101)</f>
        <v>54</v>
      </c>
    </row>
    <row r="2682">
      <c r="A2682">
        <f>MOD(2682-1,101)</f>
        <v>55</v>
      </c>
    </row>
    <row r="2683">
      <c r="A2683">
        <f>MOD(2683-1,101)</f>
        <v>56</v>
      </c>
    </row>
    <row r="2684">
      <c r="A2684">
        <f>MOD(2684-1,101)</f>
        <v>57</v>
      </c>
    </row>
    <row r="2685">
      <c r="A2685">
        <f>MOD(2685-1,101)</f>
        <v>58</v>
      </c>
    </row>
    <row r="2686">
      <c r="A2686">
        <f>MOD(2686-1,101)</f>
        <v>59</v>
      </c>
    </row>
    <row r="2687">
      <c r="A2687">
        <f>MOD(2687-1,101)</f>
        <v>60</v>
      </c>
    </row>
    <row r="2688">
      <c r="A2688">
        <f>MOD(2688-1,101)</f>
        <v>61</v>
      </c>
    </row>
    <row r="2689">
      <c r="A2689">
        <f>MOD(2689-1,101)</f>
        <v>62</v>
      </c>
    </row>
    <row r="2690">
      <c r="A2690">
        <f>MOD(2690-1,101)</f>
        <v>63</v>
      </c>
    </row>
    <row r="2691">
      <c r="A2691">
        <f>MOD(2691-1,101)</f>
        <v>64</v>
      </c>
    </row>
    <row r="2692">
      <c r="A2692">
        <f>MOD(2692-1,101)</f>
        <v>65</v>
      </c>
    </row>
    <row r="2693">
      <c r="A2693">
        <f>MOD(2693-1,101)</f>
        <v>66</v>
      </c>
    </row>
    <row r="2694">
      <c r="A2694">
        <f>MOD(2694-1,101)</f>
        <v>67</v>
      </c>
    </row>
    <row r="2695">
      <c r="A2695">
        <f>MOD(2695-1,101)</f>
        <v>68</v>
      </c>
    </row>
    <row r="2696">
      <c r="A2696">
        <f>MOD(2696-1,101)</f>
        <v>69</v>
      </c>
    </row>
    <row r="2697">
      <c r="A2697">
        <f>MOD(2697-1,101)</f>
        <v>70</v>
      </c>
    </row>
    <row r="2698">
      <c r="A2698">
        <f>MOD(2698-1,101)</f>
        <v>71</v>
      </c>
    </row>
    <row r="2699">
      <c r="A2699">
        <f>MOD(2699-1,101)</f>
        <v>72</v>
      </c>
    </row>
    <row r="2700">
      <c r="A2700">
        <f>MOD(2700-1,101)</f>
        <v>73</v>
      </c>
    </row>
    <row r="2701">
      <c r="A2701">
        <f>MOD(2701-1,101)</f>
        <v>74</v>
      </c>
    </row>
    <row r="2702">
      <c r="A2702">
        <f>MOD(2702-1,101)</f>
        <v>75</v>
      </c>
    </row>
    <row r="2703">
      <c r="A2703">
        <f>MOD(2703-1,101)</f>
        <v>76</v>
      </c>
    </row>
    <row r="2704">
      <c r="A2704">
        <f>MOD(2704-1,101)</f>
        <v>77</v>
      </c>
    </row>
    <row r="2705">
      <c r="A2705">
        <f>MOD(2705-1,101)</f>
        <v>78</v>
      </c>
    </row>
    <row r="2706">
      <c r="A2706">
        <f>MOD(2706-1,101)</f>
        <v>79</v>
      </c>
    </row>
    <row r="2707">
      <c r="A2707">
        <f>MOD(2707-1,101)</f>
        <v>80</v>
      </c>
    </row>
    <row r="2708">
      <c r="A2708">
        <f>MOD(2708-1,101)</f>
        <v>81</v>
      </c>
    </row>
    <row r="2709">
      <c r="A2709">
        <f>MOD(2709-1,101)</f>
        <v>82</v>
      </c>
    </row>
    <row r="2710">
      <c r="A2710">
        <f>MOD(2710-1,101)</f>
        <v>83</v>
      </c>
    </row>
    <row r="2711">
      <c r="A2711">
        <f>MOD(2711-1,101)</f>
        <v>84</v>
      </c>
    </row>
    <row r="2712">
      <c r="A2712">
        <f>MOD(2712-1,101)</f>
        <v>85</v>
      </c>
    </row>
    <row r="2713">
      <c r="A2713">
        <f>MOD(2713-1,101)</f>
        <v>86</v>
      </c>
    </row>
    <row r="2714">
      <c r="A2714">
        <f>MOD(2714-1,101)</f>
        <v>87</v>
      </c>
    </row>
    <row r="2715">
      <c r="A2715">
        <f>MOD(2715-1,101)</f>
        <v>88</v>
      </c>
    </row>
    <row r="2716">
      <c r="A2716">
        <f>MOD(2716-1,101)</f>
        <v>89</v>
      </c>
    </row>
    <row r="2717">
      <c r="A2717">
        <f>MOD(2717-1,101)</f>
        <v>90</v>
      </c>
    </row>
    <row r="2718">
      <c r="A2718">
        <f>MOD(2718-1,101)</f>
        <v>91</v>
      </c>
    </row>
    <row r="2719">
      <c r="A2719">
        <f>MOD(2719-1,101)</f>
        <v>92</v>
      </c>
    </row>
    <row r="2720">
      <c r="A2720">
        <f>MOD(2720-1,101)</f>
        <v>93</v>
      </c>
    </row>
    <row r="2721">
      <c r="A2721">
        <f>MOD(2721-1,101)</f>
        <v>94</v>
      </c>
    </row>
    <row r="2722">
      <c r="A2722">
        <f>MOD(2722-1,101)</f>
        <v>95</v>
      </c>
    </row>
    <row r="2723">
      <c r="A2723">
        <f>MOD(2723-1,101)</f>
        <v>96</v>
      </c>
    </row>
    <row r="2724">
      <c r="A2724">
        <f>MOD(2724-1,101)</f>
        <v>97</v>
      </c>
    </row>
    <row r="2725">
      <c r="A2725">
        <f>MOD(2725-1,101)</f>
        <v>98</v>
      </c>
    </row>
    <row r="2726">
      <c r="A2726">
        <f>MOD(2726-1,101)</f>
        <v>99</v>
      </c>
    </row>
    <row r="2727">
      <c r="A2727">
        <f>MOD(2727-1,101)</f>
        <v>100</v>
      </c>
    </row>
    <row r="2728">
      <c r="A2728">
        <f>MOD(2728-1,101)</f>
        <v>0</v>
      </c>
    </row>
    <row r="2729">
      <c r="A2729">
        <f>MOD(2729-1,101)</f>
        <v>1</v>
      </c>
    </row>
    <row r="2730">
      <c r="A2730">
        <f>MOD(2730-1,101)</f>
        <v>2</v>
      </c>
    </row>
    <row r="2731">
      <c r="A2731">
        <f>MOD(2731-1,101)</f>
        <v>3</v>
      </c>
    </row>
    <row r="2732">
      <c r="A2732">
        <f>MOD(2732-1,101)</f>
        <v>4</v>
      </c>
    </row>
    <row r="2733">
      <c r="A2733">
        <f>MOD(2733-1,101)</f>
        <v>5</v>
      </c>
    </row>
    <row r="2734">
      <c r="A2734">
        <f>MOD(2734-1,101)</f>
        <v>6</v>
      </c>
    </row>
    <row r="2735">
      <c r="A2735">
        <f>MOD(2735-1,101)</f>
        <v>7</v>
      </c>
    </row>
    <row r="2736">
      <c r="A2736">
        <f>MOD(2736-1,101)</f>
        <v>8</v>
      </c>
    </row>
    <row r="2737">
      <c r="A2737">
        <f>MOD(2737-1,101)</f>
        <v>9</v>
      </c>
    </row>
    <row r="2738">
      <c r="A2738">
        <f>MOD(2738-1,101)</f>
        <v>10</v>
      </c>
    </row>
    <row r="2739">
      <c r="A2739">
        <f>MOD(2739-1,101)</f>
        <v>11</v>
      </c>
    </row>
    <row r="2740">
      <c r="A2740">
        <f>MOD(2740-1,101)</f>
        <v>12</v>
      </c>
    </row>
    <row r="2741">
      <c r="A2741">
        <f>MOD(2741-1,101)</f>
        <v>13</v>
      </c>
    </row>
    <row r="2742">
      <c r="A2742">
        <f>MOD(2742-1,101)</f>
        <v>14</v>
      </c>
    </row>
    <row r="2743">
      <c r="A2743">
        <f>MOD(2743-1,101)</f>
        <v>15</v>
      </c>
    </row>
    <row r="2744">
      <c r="A2744">
        <f>MOD(2744-1,101)</f>
        <v>16</v>
      </c>
    </row>
    <row r="2745">
      <c r="A2745">
        <f>MOD(2745-1,101)</f>
        <v>17</v>
      </c>
    </row>
    <row r="2746">
      <c r="A2746">
        <f>MOD(2746-1,101)</f>
        <v>18</v>
      </c>
    </row>
    <row r="2747">
      <c r="A2747">
        <f>MOD(2747-1,101)</f>
        <v>19</v>
      </c>
    </row>
    <row r="2748">
      <c r="A2748">
        <f>MOD(2748-1,101)</f>
        <v>20</v>
      </c>
    </row>
    <row r="2749">
      <c r="A2749">
        <f>MOD(2749-1,101)</f>
        <v>21</v>
      </c>
    </row>
    <row r="2750">
      <c r="A2750">
        <f>MOD(2750-1,101)</f>
        <v>22</v>
      </c>
    </row>
    <row r="2751">
      <c r="A2751">
        <f>MOD(2751-1,101)</f>
        <v>23</v>
      </c>
    </row>
    <row r="2752">
      <c r="A2752">
        <f>MOD(2752-1,101)</f>
        <v>24</v>
      </c>
    </row>
    <row r="2753">
      <c r="A2753">
        <f>MOD(2753-1,101)</f>
        <v>25</v>
      </c>
    </row>
    <row r="2754">
      <c r="A2754">
        <f>MOD(2754-1,101)</f>
        <v>26</v>
      </c>
    </row>
    <row r="2755">
      <c r="A2755">
        <f>MOD(2755-1,101)</f>
        <v>27</v>
      </c>
    </row>
    <row r="2756">
      <c r="A2756">
        <f>MOD(2756-1,101)</f>
        <v>28</v>
      </c>
    </row>
    <row r="2757">
      <c r="A2757">
        <f>MOD(2757-1,101)</f>
        <v>29</v>
      </c>
    </row>
    <row r="2758">
      <c r="A2758">
        <f>MOD(2758-1,101)</f>
        <v>30</v>
      </c>
    </row>
    <row r="2759">
      <c r="A2759">
        <f>MOD(2759-1,101)</f>
        <v>31</v>
      </c>
    </row>
    <row r="2760">
      <c r="A2760">
        <f>MOD(2760-1,101)</f>
        <v>32</v>
      </c>
    </row>
    <row r="2761">
      <c r="A2761">
        <f>MOD(2761-1,101)</f>
        <v>33</v>
      </c>
    </row>
    <row r="2762">
      <c r="A2762">
        <f>MOD(2762-1,101)</f>
        <v>34</v>
      </c>
    </row>
    <row r="2763">
      <c r="A2763">
        <f>MOD(2763-1,101)</f>
        <v>35</v>
      </c>
    </row>
    <row r="2764">
      <c r="A2764">
        <f>MOD(2764-1,101)</f>
        <v>36</v>
      </c>
    </row>
    <row r="2765">
      <c r="A2765">
        <f>MOD(2765-1,101)</f>
        <v>37</v>
      </c>
    </row>
    <row r="2766">
      <c r="A2766">
        <f>MOD(2766-1,101)</f>
        <v>38</v>
      </c>
    </row>
    <row r="2767">
      <c r="A2767">
        <f>MOD(2767-1,101)</f>
        <v>39</v>
      </c>
    </row>
    <row r="2768">
      <c r="A2768">
        <f>MOD(2768-1,101)</f>
        <v>40</v>
      </c>
    </row>
    <row r="2769">
      <c r="A2769">
        <f>MOD(2769-1,101)</f>
        <v>41</v>
      </c>
    </row>
    <row r="2770">
      <c r="A2770">
        <f>MOD(2770-1,101)</f>
        <v>42</v>
      </c>
    </row>
    <row r="2771">
      <c r="A2771">
        <f>MOD(2771-1,101)</f>
        <v>43</v>
      </c>
    </row>
    <row r="2772">
      <c r="A2772">
        <f>MOD(2772-1,101)</f>
        <v>44</v>
      </c>
    </row>
    <row r="2773">
      <c r="A2773">
        <f>MOD(2773-1,101)</f>
        <v>45</v>
      </c>
    </row>
    <row r="2774">
      <c r="A2774">
        <f>MOD(2774-1,101)</f>
        <v>46</v>
      </c>
    </row>
    <row r="2775">
      <c r="A2775">
        <f>MOD(2775-1,101)</f>
        <v>47</v>
      </c>
    </row>
    <row r="2776">
      <c r="A2776">
        <f>MOD(2776-1,101)</f>
        <v>48</v>
      </c>
    </row>
    <row r="2777">
      <c r="A2777">
        <f>MOD(2777-1,101)</f>
        <v>49</v>
      </c>
    </row>
    <row r="2778">
      <c r="A2778">
        <f>MOD(2778-1,101)</f>
        <v>50</v>
      </c>
    </row>
    <row r="2779">
      <c r="A2779">
        <f>MOD(2779-1,101)</f>
        <v>51</v>
      </c>
    </row>
    <row r="2780">
      <c r="A2780">
        <f>MOD(2780-1,101)</f>
        <v>52</v>
      </c>
    </row>
    <row r="2781">
      <c r="A2781">
        <f>MOD(2781-1,101)</f>
        <v>53</v>
      </c>
    </row>
    <row r="2782">
      <c r="A2782">
        <f>MOD(2782-1,101)</f>
        <v>54</v>
      </c>
    </row>
    <row r="2783">
      <c r="A2783">
        <f>MOD(2783-1,101)</f>
        <v>55</v>
      </c>
    </row>
    <row r="2784">
      <c r="A2784">
        <f>MOD(2784-1,101)</f>
        <v>56</v>
      </c>
    </row>
    <row r="2785">
      <c r="A2785">
        <f>MOD(2785-1,101)</f>
        <v>57</v>
      </c>
    </row>
    <row r="2786">
      <c r="A2786">
        <f>MOD(2786-1,101)</f>
        <v>58</v>
      </c>
    </row>
    <row r="2787">
      <c r="A2787">
        <f>MOD(2787-1,101)</f>
        <v>59</v>
      </c>
    </row>
    <row r="2788">
      <c r="A2788">
        <f>MOD(2788-1,101)</f>
        <v>60</v>
      </c>
    </row>
    <row r="2789">
      <c r="A2789">
        <f>MOD(2789-1,101)</f>
        <v>61</v>
      </c>
    </row>
    <row r="2790">
      <c r="A2790">
        <f>MOD(2790-1,101)</f>
        <v>62</v>
      </c>
    </row>
    <row r="2791">
      <c r="A2791">
        <f>MOD(2791-1,101)</f>
        <v>63</v>
      </c>
    </row>
    <row r="2792">
      <c r="A2792">
        <f>MOD(2792-1,101)</f>
        <v>64</v>
      </c>
    </row>
    <row r="2793">
      <c r="A2793">
        <f>MOD(2793-1,101)</f>
        <v>65</v>
      </c>
    </row>
    <row r="2794">
      <c r="A2794">
        <f>MOD(2794-1,101)</f>
        <v>66</v>
      </c>
    </row>
    <row r="2795">
      <c r="A2795">
        <f>MOD(2795-1,101)</f>
        <v>67</v>
      </c>
    </row>
    <row r="2796">
      <c r="A2796">
        <f>MOD(2796-1,101)</f>
        <v>68</v>
      </c>
    </row>
    <row r="2797">
      <c r="A2797">
        <f>MOD(2797-1,101)</f>
        <v>69</v>
      </c>
    </row>
    <row r="2798">
      <c r="A2798">
        <f>MOD(2798-1,101)</f>
        <v>70</v>
      </c>
    </row>
    <row r="2799">
      <c r="A2799">
        <f>MOD(2799-1,101)</f>
        <v>71</v>
      </c>
    </row>
    <row r="2800">
      <c r="A2800">
        <f>MOD(2800-1,101)</f>
        <v>72</v>
      </c>
    </row>
    <row r="2801">
      <c r="A2801">
        <f>MOD(2801-1,101)</f>
        <v>73</v>
      </c>
    </row>
    <row r="2802">
      <c r="A2802">
        <f>MOD(2802-1,101)</f>
        <v>74</v>
      </c>
    </row>
    <row r="2803">
      <c r="A2803">
        <f>MOD(2803-1,101)</f>
        <v>75</v>
      </c>
    </row>
    <row r="2804">
      <c r="A2804">
        <f>MOD(2804-1,101)</f>
        <v>76</v>
      </c>
    </row>
    <row r="2805">
      <c r="A2805">
        <f>MOD(2805-1,101)</f>
        <v>77</v>
      </c>
    </row>
    <row r="2806">
      <c r="A2806">
        <f>MOD(2806-1,101)</f>
        <v>78</v>
      </c>
    </row>
    <row r="2807">
      <c r="A2807">
        <f>MOD(2807-1,101)</f>
        <v>79</v>
      </c>
    </row>
    <row r="2808">
      <c r="A2808">
        <f>MOD(2808-1,101)</f>
        <v>80</v>
      </c>
    </row>
    <row r="2809">
      <c r="A2809">
        <f>MOD(2809-1,101)</f>
        <v>81</v>
      </c>
    </row>
    <row r="2810">
      <c r="A2810">
        <f>MOD(2810-1,101)</f>
        <v>82</v>
      </c>
    </row>
    <row r="2811">
      <c r="A2811">
        <f>MOD(2811-1,101)</f>
        <v>83</v>
      </c>
    </row>
    <row r="2812">
      <c r="A2812">
        <f>MOD(2812-1,101)</f>
        <v>84</v>
      </c>
    </row>
    <row r="2813">
      <c r="A2813">
        <f>MOD(2813-1,101)</f>
        <v>85</v>
      </c>
    </row>
    <row r="2814">
      <c r="A2814">
        <f>MOD(2814-1,101)</f>
        <v>86</v>
      </c>
    </row>
    <row r="2815">
      <c r="A2815">
        <f>MOD(2815-1,101)</f>
        <v>87</v>
      </c>
    </row>
    <row r="2816">
      <c r="A2816">
        <f>MOD(2816-1,101)</f>
        <v>88</v>
      </c>
    </row>
    <row r="2817">
      <c r="A2817">
        <f>MOD(2817-1,101)</f>
        <v>89</v>
      </c>
    </row>
    <row r="2818">
      <c r="A2818">
        <f>MOD(2818-1,101)</f>
        <v>90</v>
      </c>
    </row>
    <row r="2819">
      <c r="A2819">
        <f>MOD(2819-1,101)</f>
        <v>91</v>
      </c>
    </row>
    <row r="2820">
      <c r="A2820">
        <f>MOD(2820-1,101)</f>
        <v>92</v>
      </c>
    </row>
    <row r="2821">
      <c r="A2821">
        <f>MOD(2821-1,101)</f>
        <v>93</v>
      </c>
    </row>
    <row r="2822">
      <c r="A2822">
        <f>MOD(2822-1,101)</f>
        <v>94</v>
      </c>
    </row>
    <row r="2823">
      <c r="A2823">
        <f>MOD(2823-1,101)</f>
        <v>95</v>
      </c>
    </row>
    <row r="2824">
      <c r="A2824">
        <f>MOD(2824-1,101)</f>
        <v>96</v>
      </c>
    </row>
    <row r="2825">
      <c r="A2825">
        <f>MOD(2825-1,101)</f>
        <v>97</v>
      </c>
    </row>
    <row r="2826">
      <c r="A2826">
        <f>MOD(2826-1,101)</f>
        <v>98</v>
      </c>
    </row>
    <row r="2827">
      <c r="A2827">
        <f>MOD(2827-1,101)</f>
        <v>99</v>
      </c>
    </row>
    <row r="2828">
      <c r="A2828">
        <f>MOD(2828-1,101)</f>
        <v>100</v>
      </c>
    </row>
    <row r="2829">
      <c r="A2829">
        <f>MOD(2829-1,101)</f>
        <v>0</v>
      </c>
    </row>
    <row r="2830">
      <c r="A2830">
        <f>MOD(2830-1,101)</f>
        <v>1</v>
      </c>
    </row>
    <row r="2831">
      <c r="A2831">
        <f>MOD(2831-1,101)</f>
        <v>2</v>
      </c>
    </row>
    <row r="2832">
      <c r="A2832">
        <f>MOD(2832-1,101)</f>
        <v>3</v>
      </c>
    </row>
    <row r="2833">
      <c r="A2833">
        <f>MOD(2833-1,101)</f>
        <v>4</v>
      </c>
    </row>
    <row r="2834">
      <c r="A2834">
        <f>MOD(2834-1,101)</f>
        <v>5</v>
      </c>
    </row>
    <row r="2835">
      <c r="A2835">
        <f>MOD(2835-1,101)</f>
        <v>6</v>
      </c>
    </row>
    <row r="2836">
      <c r="A2836">
        <f>MOD(2836-1,101)</f>
        <v>7</v>
      </c>
    </row>
    <row r="2837">
      <c r="A2837">
        <f>MOD(2837-1,101)</f>
        <v>8</v>
      </c>
    </row>
    <row r="2838">
      <c r="A2838">
        <f>MOD(2838-1,101)</f>
        <v>9</v>
      </c>
    </row>
    <row r="2839">
      <c r="A2839">
        <f>MOD(2839-1,101)</f>
        <v>10</v>
      </c>
    </row>
    <row r="2840">
      <c r="A2840">
        <f>MOD(2840-1,101)</f>
        <v>11</v>
      </c>
    </row>
    <row r="2841">
      <c r="A2841">
        <f>MOD(2841-1,101)</f>
        <v>12</v>
      </c>
    </row>
    <row r="2842">
      <c r="A2842">
        <f>MOD(2842-1,101)</f>
        <v>13</v>
      </c>
    </row>
    <row r="2843">
      <c r="A2843">
        <f>MOD(2843-1,101)</f>
        <v>14</v>
      </c>
    </row>
    <row r="2844">
      <c r="A2844">
        <f>MOD(2844-1,101)</f>
        <v>15</v>
      </c>
    </row>
    <row r="2845">
      <c r="A2845">
        <f>MOD(2845-1,101)</f>
        <v>16</v>
      </c>
    </row>
    <row r="2846">
      <c r="A2846">
        <f>MOD(2846-1,101)</f>
        <v>17</v>
      </c>
    </row>
    <row r="2847">
      <c r="A2847">
        <f>MOD(2847-1,101)</f>
        <v>18</v>
      </c>
    </row>
    <row r="2848">
      <c r="A2848">
        <f>MOD(2848-1,101)</f>
        <v>19</v>
      </c>
    </row>
    <row r="2849">
      <c r="A2849">
        <f>MOD(2849-1,101)</f>
        <v>20</v>
      </c>
    </row>
    <row r="2850">
      <c r="A2850">
        <f>MOD(2850-1,101)</f>
        <v>21</v>
      </c>
    </row>
    <row r="2851">
      <c r="A2851">
        <f>MOD(2851-1,101)</f>
        <v>22</v>
      </c>
    </row>
    <row r="2852">
      <c r="A2852">
        <f>MOD(2852-1,101)</f>
        <v>23</v>
      </c>
    </row>
    <row r="2853">
      <c r="A2853">
        <f>MOD(2853-1,101)</f>
        <v>24</v>
      </c>
    </row>
    <row r="2854">
      <c r="A2854">
        <f>MOD(2854-1,101)</f>
        <v>25</v>
      </c>
    </row>
    <row r="2855">
      <c r="A2855">
        <f>MOD(2855-1,101)</f>
        <v>26</v>
      </c>
    </row>
    <row r="2856">
      <c r="A2856">
        <f>MOD(2856-1,101)</f>
        <v>27</v>
      </c>
    </row>
    <row r="2857">
      <c r="A2857">
        <f>MOD(2857-1,101)</f>
        <v>28</v>
      </c>
    </row>
    <row r="2858">
      <c r="A2858">
        <f>MOD(2858-1,101)</f>
        <v>29</v>
      </c>
    </row>
    <row r="2859">
      <c r="A2859">
        <f>MOD(2859-1,101)</f>
        <v>30</v>
      </c>
    </row>
    <row r="2860">
      <c r="A2860">
        <f>MOD(2860-1,101)</f>
        <v>31</v>
      </c>
    </row>
    <row r="2861">
      <c r="A2861">
        <f>MOD(2861-1,101)</f>
        <v>32</v>
      </c>
    </row>
    <row r="2862">
      <c r="A2862">
        <f>MOD(2862-1,101)</f>
        <v>33</v>
      </c>
    </row>
    <row r="2863">
      <c r="A2863">
        <f>MOD(2863-1,101)</f>
        <v>34</v>
      </c>
    </row>
    <row r="2864">
      <c r="A2864">
        <f>MOD(2864-1,101)</f>
        <v>35</v>
      </c>
    </row>
    <row r="2865">
      <c r="A2865">
        <f>MOD(2865-1,101)</f>
        <v>36</v>
      </c>
    </row>
    <row r="2866">
      <c r="A2866">
        <f>MOD(2866-1,101)</f>
        <v>37</v>
      </c>
    </row>
    <row r="2867">
      <c r="A2867">
        <f>MOD(2867-1,101)</f>
        <v>38</v>
      </c>
    </row>
    <row r="2868">
      <c r="A2868">
        <f>MOD(2868-1,101)</f>
        <v>39</v>
      </c>
    </row>
    <row r="2869">
      <c r="A2869">
        <f>MOD(2869-1,101)</f>
        <v>40</v>
      </c>
    </row>
    <row r="2870">
      <c r="A2870">
        <f>MOD(2870-1,101)</f>
        <v>41</v>
      </c>
    </row>
    <row r="2871">
      <c r="A2871">
        <f>MOD(2871-1,101)</f>
        <v>42</v>
      </c>
    </row>
    <row r="2872">
      <c r="A2872">
        <f>MOD(2872-1,101)</f>
        <v>43</v>
      </c>
    </row>
    <row r="2873">
      <c r="A2873">
        <f>MOD(2873-1,101)</f>
        <v>44</v>
      </c>
    </row>
    <row r="2874">
      <c r="A2874">
        <f>MOD(2874-1,101)</f>
        <v>45</v>
      </c>
    </row>
    <row r="2875">
      <c r="A2875">
        <f>MOD(2875-1,101)</f>
        <v>46</v>
      </c>
    </row>
    <row r="2876">
      <c r="A2876">
        <f>MOD(2876-1,101)</f>
        <v>47</v>
      </c>
    </row>
    <row r="2877">
      <c r="A2877">
        <f>MOD(2877-1,101)</f>
        <v>48</v>
      </c>
    </row>
    <row r="2878">
      <c r="A2878">
        <f>MOD(2878-1,101)</f>
        <v>49</v>
      </c>
    </row>
    <row r="2879">
      <c r="A2879">
        <f>MOD(2879-1,101)</f>
        <v>50</v>
      </c>
    </row>
    <row r="2880">
      <c r="A2880">
        <f>MOD(2880-1,101)</f>
        <v>51</v>
      </c>
    </row>
    <row r="2881">
      <c r="A2881">
        <f>MOD(2881-1,101)</f>
        <v>52</v>
      </c>
    </row>
    <row r="2882">
      <c r="A2882">
        <f>MOD(2882-1,101)</f>
        <v>53</v>
      </c>
    </row>
    <row r="2883">
      <c r="A2883">
        <f>MOD(2883-1,101)</f>
        <v>54</v>
      </c>
    </row>
    <row r="2884">
      <c r="A2884">
        <f>MOD(2884-1,101)</f>
        <v>55</v>
      </c>
    </row>
    <row r="2885">
      <c r="A2885">
        <f>MOD(2885-1,101)</f>
        <v>56</v>
      </c>
    </row>
    <row r="2886">
      <c r="A2886">
        <f>MOD(2886-1,101)</f>
        <v>57</v>
      </c>
    </row>
    <row r="2887">
      <c r="A2887">
        <f>MOD(2887-1,101)</f>
        <v>58</v>
      </c>
    </row>
    <row r="2888">
      <c r="A2888">
        <f>MOD(2888-1,101)</f>
        <v>59</v>
      </c>
    </row>
    <row r="2889">
      <c r="A2889">
        <f>MOD(2889-1,101)</f>
        <v>60</v>
      </c>
    </row>
    <row r="2890">
      <c r="A2890">
        <f>MOD(2890-1,101)</f>
        <v>61</v>
      </c>
    </row>
    <row r="2891">
      <c r="A2891">
        <f>MOD(2891-1,101)</f>
        <v>62</v>
      </c>
    </row>
    <row r="2892">
      <c r="A2892">
        <f>MOD(2892-1,101)</f>
        <v>63</v>
      </c>
    </row>
    <row r="2893">
      <c r="A2893">
        <f>MOD(2893-1,101)</f>
        <v>64</v>
      </c>
    </row>
    <row r="2894">
      <c r="A2894">
        <f>MOD(2894-1,101)</f>
        <v>65</v>
      </c>
    </row>
    <row r="2895">
      <c r="A2895">
        <f>MOD(2895-1,101)</f>
        <v>66</v>
      </c>
    </row>
    <row r="2896">
      <c r="A2896">
        <f>MOD(2896-1,101)</f>
        <v>67</v>
      </c>
    </row>
    <row r="2897">
      <c r="A2897">
        <f>MOD(2897-1,101)</f>
        <v>68</v>
      </c>
    </row>
    <row r="2898">
      <c r="A2898">
        <f>MOD(2898-1,101)</f>
        <v>69</v>
      </c>
    </row>
    <row r="2899">
      <c r="A2899">
        <f>MOD(2899-1,101)</f>
        <v>70</v>
      </c>
    </row>
    <row r="2900">
      <c r="A2900">
        <f>MOD(2900-1,101)</f>
        <v>71</v>
      </c>
    </row>
    <row r="2901">
      <c r="A2901">
        <f>MOD(2901-1,101)</f>
        <v>72</v>
      </c>
    </row>
    <row r="2902">
      <c r="A2902">
        <f>MOD(2902-1,101)</f>
        <v>73</v>
      </c>
    </row>
    <row r="2903">
      <c r="A2903">
        <f>MOD(2903-1,101)</f>
        <v>74</v>
      </c>
    </row>
    <row r="2904">
      <c r="A2904">
        <f>MOD(2904-1,101)</f>
        <v>75</v>
      </c>
    </row>
    <row r="2905">
      <c r="A2905">
        <f>MOD(2905-1,101)</f>
        <v>76</v>
      </c>
    </row>
    <row r="2906">
      <c r="A2906">
        <f>MOD(2906-1,101)</f>
        <v>77</v>
      </c>
    </row>
    <row r="2907">
      <c r="A2907">
        <f>MOD(2907-1,101)</f>
        <v>78</v>
      </c>
    </row>
    <row r="2908">
      <c r="A2908">
        <f>MOD(2908-1,101)</f>
        <v>79</v>
      </c>
    </row>
    <row r="2909">
      <c r="A2909">
        <f>MOD(2909-1,101)</f>
        <v>80</v>
      </c>
    </row>
    <row r="2910">
      <c r="A2910">
        <f>MOD(2910-1,101)</f>
        <v>81</v>
      </c>
    </row>
    <row r="2911">
      <c r="A2911">
        <f>MOD(2911-1,101)</f>
        <v>82</v>
      </c>
    </row>
    <row r="2912">
      <c r="A2912">
        <f>MOD(2912-1,101)</f>
        <v>83</v>
      </c>
    </row>
    <row r="2913">
      <c r="A2913">
        <f>MOD(2913-1,101)</f>
        <v>84</v>
      </c>
    </row>
    <row r="2914">
      <c r="A2914">
        <f>MOD(2914-1,101)</f>
        <v>85</v>
      </c>
    </row>
    <row r="2915">
      <c r="A2915">
        <f>MOD(2915-1,101)</f>
        <v>86</v>
      </c>
    </row>
    <row r="2916">
      <c r="A2916">
        <f>MOD(2916-1,101)</f>
        <v>87</v>
      </c>
    </row>
    <row r="2917">
      <c r="A2917">
        <f>MOD(2917-1,101)</f>
        <v>88</v>
      </c>
    </row>
    <row r="2918">
      <c r="A2918">
        <f>MOD(2918-1,101)</f>
        <v>89</v>
      </c>
    </row>
    <row r="2919">
      <c r="A2919">
        <f>MOD(2919-1,101)</f>
        <v>90</v>
      </c>
    </row>
    <row r="2920">
      <c r="A2920">
        <f>MOD(2920-1,101)</f>
        <v>91</v>
      </c>
    </row>
    <row r="2921">
      <c r="A2921">
        <f>MOD(2921-1,101)</f>
        <v>92</v>
      </c>
    </row>
    <row r="2922">
      <c r="A2922">
        <f>MOD(2922-1,101)</f>
        <v>93</v>
      </c>
    </row>
    <row r="2923">
      <c r="A2923">
        <f>MOD(2923-1,101)</f>
        <v>94</v>
      </c>
    </row>
    <row r="2924">
      <c r="A2924">
        <f>MOD(2924-1,101)</f>
        <v>95</v>
      </c>
    </row>
    <row r="2925">
      <c r="A2925">
        <f>MOD(2925-1,101)</f>
        <v>96</v>
      </c>
    </row>
    <row r="2926">
      <c r="A2926">
        <f>MOD(2926-1,101)</f>
        <v>97</v>
      </c>
    </row>
    <row r="2927">
      <c r="A2927">
        <f>MOD(2927-1,101)</f>
        <v>98</v>
      </c>
    </row>
    <row r="2928">
      <c r="A2928">
        <f>MOD(2928-1,101)</f>
        <v>99</v>
      </c>
    </row>
    <row r="2929">
      <c r="A2929">
        <f>MOD(2929-1,101)</f>
        <v>100</v>
      </c>
    </row>
    <row r="2930">
      <c r="A2930">
        <f>MOD(2930-1,101)</f>
        <v>0</v>
      </c>
    </row>
    <row r="2931">
      <c r="A2931">
        <f>MOD(2931-1,101)</f>
        <v>1</v>
      </c>
    </row>
    <row r="2932">
      <c r="A2932">
        <f>MOD(2932-1,101)</f>
        <v>2</v>
      </c>
    </row>
    <row r="2933">
      <c r="A2933">
        <f>MOD(2933-1,101)</f>
        <v>3</v>
      </c>
    </row>
    <row r="2934">
      <c r="A2934">
        <f>MOD(2934-1,101)</f>
        <v>4</v>
      </c>
    </row>
    <row r="2935">
      <c r="A2935">
        <f>MOD(2935-1,101)</f>
        <v>5</v>
      </c>
    </row>
    <row r="2936">
      <c r="A2936">
        <f>MOD(2936-1,101)</f>
        <v>6</v>
      </c>
    </row>
    <row r="2937">
      <c r="A2937">
        <f>MOD(2937-1,101)</f>
        <v>7</v>
      </c>
    </row>
    <row r="2938">
      <c r="A2938">
        <f>MOD(2938-1,101)</f>
        <v>8</v>
      </c>
    </row>
    <row r="2939">
      <c r="A2939">
        <f>MOD(2939-1,101)</f>
        <v>9</v>
      </c>
    </row>
    <row r="2940">
      <c r="A2940">
        <f>MOD(2940-1,101)</f>
        <v>10</v>
      </c>
    </row>
    <row r="2941">
      <c r="A2941">
        <f>MOD(2941-1,101)</f>
        <v>11</v>
      </c>
    </row>
    <row r="2942">
      <c r="A2942">
        <f>MOD(2942-1,101)</f>
        <v>12</v>
      </c>
    </row>
    <row r="2943">
      <c r="A2943">
        <f>MOD(2943-1,101)</f>
        <v>13</v>
      </c>
    </row>
    <row r="2944">
      <c r="A2944">
        <f>MOD(2944-1,101)</f>
        <v>14</v>
      </c>
    </row>
    <row r="2945">
      <c r="A2945">
        <f>MOD(2945-1,101)</f>
        <v>15</v>
      </c>
    </row>
    <row r="2946">
      <c r="A2946">
        <f>MOD(2946-1,101)</f>
        <v>16</v>
      </c>
    </row>
    <row r="2947">
      <c r="A2947">
        <f>MOD(2947-1,101)</f>
        <v>17</v>
      </c>
    </row>
    <row r="2948">
      <c r="A2948">
        <f>MOD(2948-1,101)</f>
        <v>18</v>
      </c>
    </row>
    <row r="2949">
      <c r="A2949">
        <f>MOD(2949-1,101)</f>
        <v>19</v>
      </c>
    </row>
    <row r="2950">
      <c r="A2950">
        <f>MOD(2950-1,101)</f>
        <v>20</v>
      </c>
    </row>
    <row r="2951">
      <c r="A2951">
        <f>MOD(2951-1,101)</f>
        <v>21</v>
      </c>
    </row>
    <row r="2952">
      <c r="A2952">
        <f>MOD(2952-1,101)</f>
        <v>22</v>
      </c>
    </row>
    <row r="2953">
      <c r="A2953">
        <f>MOD(2953-1,101)</f>
        <v>23</v>
      </c>
    </row>
    <row r="2954">
      <c r="A2954">
        <f>MOD(2954-1,101)</f>
        <v>24</v>
      </c>
    </row>
    <row r="2955">
      <c r="A2955">
        <f>MOD(2955-1,101)</f>
        <v>25</v>
      </c>
    </row>
    <row r="2956">
      <c r="A2956">
        <f>MOD(2956-1,101)</f>
        <v>26</v>
      </c>
    </row>
    <row r="2957">
      <c r="A2957">
        <f>MOD(2957-1,101)</f>
        <v>27</v>
      </c>
    </row>
    <row r="2958">
      <c r="A2958">
        <f>MOD(2958-1,101)</f>
        <v>28</v>
      </c>
    </row>
    <row r="2959">
      <c r="A2959">
        <f>MOD(2959-1,101)</f>
        <v>29</v>
      </c>
    </row>
    <row r="2960">
      <c r="A2960">
        <f>MOD(2960-1,101)</f>
        <v>30</v>
      </c>
    </row>
    <row r="2961">
      <c r="A2961">
        <f>MOD(2961-1,101)</f>
        <v>31</v>
      </c>
    </row>
    <row r="2962">
      <c r="A2962">
        <f>MOD(2962-1,101)</f>
        <v>32</v>
      </c>
    </row>
    <row r="2963">
      <c r="A2963">
        <f>MOD(2963-1,101)</f>
        <v>33</v>
      </c>
    </row>
    <row r="2964">
      <c r="A2964">
        <f>MOD(2964-1,101)</f>
        <v>34</v>
      </c>
    </row>
    <row r="2965">
      <c r="A2965">
        <f>MOD(2965-1,101)</f>
        <v>35</v>
      </c>
    </row>
    <row r="2966">
      <c r="A2966">
        <f>MOD(2966-1,101)</f>
        <v>36</v>
      </c>
    </row>
    <row r="2967">
      <c r="A2967">
        <f>MOD(2967-1,101)</f>
        <v>37</v>
      </c>
    </row>
    <row r="2968">
      <c r="A2968">
        <f>MOD(2968-1,101)</f>
        <v>38</v>
      </c>
    </row>
    <row r="2969">
      <c r="A2969">
        <f>MOD(2969-1,101)</f>
        <v>39</v>
      </c>
    </row>
    <row r="2970">
      <c r="A2970">
        <f>MOD(2970-1,101)</f>
        <v>40</v>
      </c>
    </row>
    <row r="2971">
      <c r="A2971">
        <f>MOD(2971-1,101)</f>
        <v>41</v>
      </c>
    </row>
    <row r="2972">
      <c r="A2972">
        <f>MOD(2972-1,101)</f>
        <v>42</v>
      </c>
    </row>
    <row r="2973">
      <c r="A2973">
        <f>MOD(2973-1,101)</f>
        <v>43</v>
      </c>
    </row>
    <row r="2974">
      <c r="A2974">
        <f>MOD(2974-1,101)</f>
        <v>44</v>
      </c>
    </row>
    <row r="2975">
      <c r="A2975">
        <f>MOD(2975-1,101)</f>
        <v>45</v>
      </c>
    </row>
    <row r="2976">
      <c r="A2976">
        <f>MOD(2976-1,101)</f>
        <v>46</v>
      </c>
    </row>
    <row r="2977">
      <c r="A2977">
        <f>MOD(2977-1,101)</f>
        <v>47</v>
      </c>
    </row>
    <row r="2978">
      <c r="A2978">
        <f>MOD(2978-1,101)</f>
        <v>48</v>
      </c>
    </row>
    <row r="2979">
      <c r="A2979">
        <f>MOD(2979-1,101)</f>
        <v>49</v>
      </c>
    </row>
    <row r="2980">
      <c r="A2980">
        <f>MOD(2980-1,101)</f>
        <v>50</v>
      </c>
    </row>
    <row r="2981">
      <c r="A2981">
        <f>MOD(2981-1,101)</f>
        <v>51</v>
      </c>
    </row>
    <row r="2982">
      <c r="A2982">
        <f>MOD(2982-1,101)</f>
        <v>52</v>
      </c>
    </row>
    <row r="2983">
      <c r="A2983">
        <f>MOD(2983-1,101)</f>
        <v>53</v>
      </c>
    </row>
    <row r="2984">
      <c r="A2984">
        <f>MOD(2984-1,101)</f>
        <v>54</v>
      </c>
    </row>
    <row r="2985">
      <c r="A2985">
        <f>MOD(2985-1,101)</f>
        <v>55</v>
      </c>
    </row>
    <row r="2986">
      <c r="A2986">
        <f>MOD(2986-1,101)</f>
        <v>56</v>
      </c>
    </row>
    <row r="2987">
      <c r="A2987">
        <f>MOD(2987-1,101)</f>
        <v>57</v>
      </c>
    </row>
    <row r="2988">
      <c r="A2988">
        <f>MOD(2988-1,101)</f>
        <v>58</v>
      </c>
    </row>
    <row r="2989">
      <c r="A2989">
        <f>MOD(2989-1,101)</f>
        <v>59</v>
      </c>
    </row>
    <row r="2990">
      <c r="A2990">
        <f>MOD(2990-1,101)</f>
        <v>60</v>
      </c>
    </row>
    <row r="2991">
      <c r="A2991">
        <f>MOD(2991-1,101)</f>
        <v>61</v>
      </c>
    </row>
    <row r="2992">
      <c r="A2992">
        <f>MOD(2992-1,101)</f>
        <v>62</v>
      </c>
    </row>
    <row r="2993">
      <c r="A2993">
        <f>MOD(2993-1,101)</f>
        <v>63</v>
      </c>
    </row>
    <row r="2994">
      <c r="A2994">
        <f>MOD(2994-1,101)</f>
        <v>64</v>
      </c>
    </row>
    <row r="2995">
      <c r="A2995">
        <f>MOD(2995-1,101)</f>
        <v>65</v>
      </c>
    </row>
    <row r="2996">
      <c r="A2996">
        <f>MOD(2996-1,101)</f>
        <v>66</v>
      </c>
    </row>
    <row r="2997">
      <c r="A2997">
        <f>MOD(2997-1,101)</f>
        <v>67</v>
      </c>
    </row>
    <row r="2998">
      <c r="A2998">
        <f>MOD(2998-1,101)</f>
        <v>68</v>
      </c>
    </row>
    <row r="2999">
      <c r="A2999">
        <f>MOD(2999-1,101)</f>
        <v>69</v>
      </c>
    </row>
    <row r="3000">
      <c r="A3000">
        <f>MOD(3000-1,101)</f>
        <v>70</v>
      </c>
    </row>
    <row r="3001">
      <c r="A3001">
        <f>MOD(3001-1,101)</f>
        <v>71</v>
      </c>
    </row>
    <row r="3002">
      <c r="A3002">
        <f>MOD(3002-1,101)</f>
        <v>72</v>
      </c>
    </row>
    <row r="3003">
      <c r="A3003">
        <f>MOD(3003-1,101)</f>
        <v>73</v>
      </c>
    </row>
    <row r="3004">
      <c r="A3004">
        <f>MOD(3004-1,101)</f>
        <v>74</v>
      </c>
    </row>
    <row r="3005">
      <c r="A3005">
        <f>MOD(3005-1,101)</f>
        <v>75</v>
      </c>
    </row>
    <row r="3006">
      <c r="A3006">
        <f>MOD(3006-1,101)</f>
        <v>76</v>
      </c>
    </row>
    <row r="3007">
      <c r="A3007">
        <f>MOD(3007-1,101)</f>
        <v>77</v>
      </c>
    </row>
    <row r="3008">
      <c r="A3008">
        <f>MOD(3008-1,101)</f>
        <v>78</v>
      </c>
    </row>
    <row r="3009">
      <c r="A3009">
        <f>MOD(3009-1,101)</f>
        <v>79</v>
      </c>
    </row>
    <row r="3010">
      <c r="A3010">
        <f>MOD(3010-1,101)</f>
        <v>80</v>
      </c>
    </row>
    <row r="3011">
      <c r="A3011">
        <f>MOD(3011-1,101)</f>
        <v>81</v>
      </c>
    </row>
    <row r="3012">
      <c r="A3012">
        <f>MOD(3012-1,101)</f>
        <v>82</v>
      </c>
    </row>
    <row r="3013">
      <c r="A3013">
        <f>MOD(3013-1,101)</f>
        <v>83</v>
      </c>
    </row>
    <row r="3014">
      <c r="A3014">
        <f>MOD(3014-1,101)</f>
        <v>84</v>
      </c>
    </row>
    <row r="3015">
      <c r="A3015">
        <f>MOD(3015-1,101)</f>
        <v>85</v>
      </c>
    </row>
    <row r="3016">
      <c r="A3016">
        <f>MOD(3016-1,101)</f>
        <v>86</v>
      </c>
    </row>
    <row r="3017">
      <c r="A3017">
        <f>MOD(3017-1,101)</f>
        <v>87</v>
      </c>
    </row>
    <row r="3018">
      <c r="A3018">
        <f>MOD(3018-1,101)</f>
        <v>88</v>
      </c>
    </row>
    <row r="3019">
      <c r="A3019">
        <f>MOD(3019-1,101)</f>
        <v>89</v>
      </c>
    </row>
    <row r="3020">
      <c r="A3020">
        <f>MOD(3020-1,101)</f>
        <v>90</v>
      </c>
    </row>
    <row r="3021">
      <c r="A3021">
        <f>MOD(3021-1,101)</f>
        <v>91</v>
      </c>
    </row>
    <row r="3022">
      <c r="A3022">
        <f>MOD(3022-1,101)</f>
        <v>92</v>
      </c>
    </row>
    <row r="3023">
      <c r="A3023">
        <f>MOD(3023-1,101)</f>
        <v>93</v>
      </c>
    </row>
    <row r="3024">
      <c r="A3024">
        <f>MOD(3024-1,101)</f>
        <v>94</v>
      </c>
    </row>
    <row r="3025">
      <c r="A3025">
        <f>MOD(3025-1,101)</f>
        <v>95</v>
      </c>
    </row>
    <row r="3026">
      <c r="A3026">
        <f>MOD(3026-1,101)</f>
        <v>96</v>
      </c>
    </row>
    <row r="3027">
      <c r="A3027">
        <f>MOD(3027-1,101)</f>
        <v>97</v>
      </c>
    </row>
    <row r="3028">
      <c r="A3028">
        <f>MOD(3028-1,101)</f>
        <v>98</v>
      </c>
    </row>
    <row r="3029">
      <c r="A3029">
        <f>MOD(3029-1,101)</f>
        <v>99</v>
      </c>
    </row>
    <row r="3030">
      <c r="A3030">
        <f>MOD(3030-1,101)</f>
        <v>100</v>
      </c>
    </row>
    <row r="3031">
      <c r="A3031">
        <f>MOD(3031-1,101)</f>
        <v>0</v>
      </c>
    </row>
    <row r="3032">
      <c r="A3032">
        <f>MOD(3032-1,101)</f>
        <v>1</v>
      </c>
    </row>
    <row r="3033">
      <c r="A3033">
        <f>MOD(3033-1,101)</f>
        <v>2</v>
      </c>
    </row>
    <row r="3034">
      <c r="A3034">
        <f>MOD(3034-1,101)</f>
        <v>3</v>
      </c>
    </row>
    <row r="3035">
      <c r="A3035">
        <f>MOD(3035-1,101)</f>
        <v>4</v>
      </c>
    </row>
    <row r="3036">
      <c r="A3036">
        <f>MOD(3036-1,101)</f>
        <v>5</v>
      </c>
    </row>
    <row r="3037">
      <c r="A3037">
        <f>MOD(3037-1,101)</f>
        <v>6</v>
      </c>
    </row>
    <row r="3038">
      <c r="A3038">
        <f>MOD(3038-1,101)</f>
        <v>7</v>
      </c>
    </row>
    <row r="3039">
      <c r="A3039">
        <f>MOD(3039-1,101)</f>
        <v>8</v>
      </c>
    </row>
    <row r="3040">
      <c r="A3040">
        <f>MOD(3040-1,101)</f>
        <v>9</v>
      </c>
    </row>
    <row r="3041">
      <c r="A3041">
        <f>MOD(3041-1,101)</f>
        <v>10</v>
      </c>
    </row>
    <row r="3042">
      <c r="A3042">
        <f>MOD(3042-1,101)</f>
        <v>11</v>
      </c>
    </row>
    <row r="3043">
      <c r="A3043">
        <f>MOD(3043-1,101)</f>
        <v>12</v>
      </c>
    </row>
    <row r="3044">
      <c r="A3044">
        <f>MOD(3044-1,101)</f>
        <v>13</v>
      </c>
    </row>
    <row r="3045">
      <c r="A3045">
        <f>MOD(3045-1,101)</f>
        <v>14</v>
      </c>
    </row>
    <row r="3046">
      <c r="A3046">
        <f>MOD(3046-1,101)</f>
        <v>15</v>
      </c>
    </row>
    <row r="3047">
      <c r="A3047">
        <f>MOD(3047-1,101)</f>
        <v>16</v>
      </c>
    </row>
    <row r="3048">
      <c r="A3048">
        <f>MOD(3048-1,101)</f>
        <v>17</v>
      </c>
    </row>
    <row r="3049">
      <c r="A3049">
        <f>MOD(3049-1,101)</f>
        <v>18</v>
      </c>
    </row>
    <row r="3050">
      <c r="A3050">
        <f>MOD(3050-1,101)</f>
        <v>19</v>
      </c>
    </row>
    <row r="3051">
      <c r="A3051">
        <f>MOD(3051-1,101)</f>
        <v>20</v>
      </c>
    </row>
    <row r="3052">
      <c r="A3052">
        <f>MOD(3052-1,101)</f>
        <v>21</v>
      </c>
    </row>
    <row r="3053">
      <c r="A3053">
        <f>MOD(3053-1,101)</f>
        <v>22</v>
      </c>
    </row>
    <row r="3054">
      <c r="A3054">
        <f>MOD(3054-1,101)</f>
        <v>23</v>
      </c>
    </row>
    <row r="3055">
      <c r="A3055">
        <f>MOD(3055-1,101)</f>
        <v>24</v>
      </c>
    </row>
    <row r="3056">
      <c r="A3056">
        <f>MOD(3056-1,101)</f>
        <v>25</v>
      </c>
    </row>
    <row r="3057">
      <c r="A3057">
        <f>MOD(3057-1,101)</f>
        <v>26</v>
      </c>
    </row>
    <row r="3058">
      <c r="A3058">
        <f>MOD(3058-1,101)</f>
        <v>27</v>
      </c>
    </row>
    <row r="3059">
      <c r="A3059">
        <f>MOD(3059-1,101)</f>
        <v>28</v>
      </c>
    </row>
    <row r="3060">
      <c r="A3060">
        <f>MOD(3060-1,101)</f>
        <v>29</v>
      </c>
    </row>
    <row r="3061">
      <c r="A3061">
        <f>MOD(3061-1,101)</f>
        <v>30</v>
      </c>
    </row>
    <row r="3062">
      <c r="A3062">
        <f>MOD(3062-1,101)</f>
        <v>31</v>
      </c>
    </row>
    <row r="3063">
      <c r="A3063">
        <f>MOD(3063-1,101)</f>
        <v>32</v>
      </c>
    </row>
    <row r="3064">
      <c r="A3064">
        <f>MOD(3064-1,101)</f>
        <v>33</v>
      </c>
    </row>
    <row r="3065">
      <c r="A3065">
        <f>MOD(3065-1,101)</f>
        <v>34</v>
      </c>
    </row>
    <row r="3066">
      <c r="A3066">
        <f>MOD(3066-1,101)</f>
        <v>35</v>
      </c>
    </row>
    <row r="3067">
      <c r="A3067">
        <f>MOD(3067-1,101)</f>
        <v>36</v>
      </c>
    </row>
    <row r="3068">
      <c r="A3068">
        <f>MOD(3068-1,101)</f>
        <v>37</v>
      </c>
    </row>
    <row r="3069">
      <c r="A3069">
        <f>MOD(3069-1,101)</f>
        <v>38</v>
      </c>
    </row>
    <row r="3070">
      <c r="A3070">
        <f>MOD(3070-1,101)</f>
        <v>39</v>
      </c>
    </row>
    <row r="3071">
      <c r="A3071">
        <f>MOD(3071-1,101)</f>
        <v>40</v>
      </c>
    </row>
    <row r="3072">
      <c r="A3072">
        <f>MOD(3072-1,101)</f>
        <v>41</v>
      </c>
    </row>
    <row r="3073">
      <c r="A3073">
        <f>MOD(3073-1,101)</f>
        <v>42</v>
      </c>
    </row>
    <row r="3074">
      <c r="A3074">
        <f>MOD(3074-1,101)</f>
        <v>43</v>
      </c>
    </row>
    <row r="3075">
      <c r="A3075">
        <f>MOD(3075-1,101)</f>
        <v>44</v>
      </c>
    </row>
    <row r="3076">
      <c r="A3076">
        <f>MOD(3076-1,101)</f>
        <v>45</v>
      </c>
    </row>
    <row r="3077">
      <c r="A3077">
        <f>MOD(3077-1,101)</f>
        <v>46</v>
      </c>
    </row>
    <row r="3078">
      <c r="A3078">
        <f>MOD(3078-1,101)</f>
        <v>47</v>
      </c>
    </row>
    <row r="3079">
      <c r="A3079">
        <f>MOD(3079-1,101)</f>
        <v>48</v>
      </c>
    </row>
    <row r="3080">
      <c r="A3080">
        <f>MOD(3080-1,101)</f>
        <v>49</v>
      </c>
    </row>
    <row r="3081">
      <c r="A3081">
        <f>MOD(3081-1,101)</f>
        <v>50</v>
      </c>
    </row>
    <row r="3082">
      <c r="A3082">
        <f>MOD(3082-1,101)</f>
        <v>51</v>
      </c>
    </row>
    <row r="3083">
      <c r="A3083">
        <f>MOD(3083-1,101)</f>
        <v>52</v>
      </c>
    </row>
    <row r="3084">
      <c r="A3084">
        <f>MOD(3084-1,101)</f>
        <v>53</v>
      </c>
    </row>
    <row r="3085">
      <c r="A3085">
        <f>MOD(3085-1,101)</f>
        <v>54</v>
      </c>
    </row>
    <row r="3086">
      <c r="A3086">
        <f>MOD(3086-1,101)</f>
        <v>55</v>
      </c>
    </row>
    <row r="3087">
      <c r="A3087">
        <f>MOD(3087-1,101)</f>
        <v>56</v>
      </c>
    </row>
    <row r="3088">
      <c r="A3088">
        <f>MOD(3088-1,101)</f>
        <v>57</v>
      </c>
    </row>
    <row r="3089">
      <c r="A3089">
        <f>MOD(3089-1,101)</f>
        <v>58</v>
      </c>
    </row>
    <row r="3090">
      <c r="A3090">
        <f>MOD(3090-1,101)</f>
        <v>59</v>
      </c>
    </row>
    <row r="3091">
      <c r="A3091">
        <f>MOD(3091-1,101)</f>
        <v>60</v>
      </c>
    </row>
    <row r="3092">
      <c r="A3092">
        <f>MOD(3092-1,101)</f>
        <v>61</v>
      </c>
    </row>
    <row r="3093">
      <c r="A3093">
        <f>MOD(3093-1,101)</f>
        <v>62</v>
      </c>
    </row>
    <row r="3094">
      <c r="A3094">
        <f>MOD(3094-1,101)</f>
        <v>63</v>
      </c>
    </row>
    <row r="3095">
      <c r="A3095">
        <f>MOD(3095-1,101)</f>
        <v>64</v>
      </c>
    </row>
    <row r="3096">
      <c r="A3096">
        <f>MOD(3096-1,101)</f>
        <v>65</v>
      </c>
    </row>
    <row r="3097">
      <c r="A3097">
        <f>MOD(3097-1,101)</f>
        <v>66</v>
      </c>
    </row>
    <row r="3098">
      <c r="A3098">
        <f>MOD(3098-1,101)</f>
        <v>67</v>
      </c>
    </row>
    <row r="3099">
      <c r="A3099">
        <f>MOD(3099-1,101)</f>
        <v>68</v>
      </c>
    </row>
    <row r="3100">
      <c r="A3100">
        <f>MOD(3100-1,101)</f>
        <v>69</v>
      </c>
    </row>
    <row r="3101">
      <c r="A3101">
        <f>MOD(3101-1,101)</f>
        <v>70</v>
      </c>
    </row>
    <row r="3102">
      <c r="A3102">
        <f>MOD(3102-1,101)</f>
        <v>71</v>
      </c>
    </row>
    <row r="3103">
      <c r="A3103">
        <f>MOD(3103-1,101)</f>
        <v>72</v>
      </c>
    </row>
    <row r="3104">
      <c r="A3104">
        <f>MOD(3104-1,101)</f>
        <v>73</v>
      </c>
    </row>
    <row r="3105">
      <c r="A3105">
        <f>MOD(3105-1,101)</f>
        <v>74</v>
      </c>
    </row>
    <row r="3106">
      <c r="A3106">
        <f>MOD(3106-1,101)</f>
        <v>75</v>
      </c>
    </row>
    <row r="3107">
      <c r="A3107">
        <f>MOD(3107-1,101)</f>
        <v>76</v>
      </c>
    </row>
    <row r="3108">
      <c r="A3108">
        <f>MOD(3108-1,101)</f>
        <v>77</v>
      </c>
    </row>
    <row r="3109">
      <c r="A3109">
        <f>MOD(3109-1,101)</f>
        <v>78</v>
      </c>
    </row>
    <row r="3110">
      <c r="A3110">
        <f>MOD(3110-1,101)</f>
        <v>79</v>
      </c>
    </row>
    <row r="3111">
      <c r="A3111">
        <f>MOD(3111-1,101)</f>
        <v>80</v>
      </c>
    </row>
    <row r="3112">
      <c r="A3112">
        <f>MOD(3112-1,101)</f>
        <v>81</v>
      </c>
    </row>
    <row r="3113">
      <c r="A3113">
        <f>MOD(3113-1,101)</f>
        <v>82</v>
      </c>
    </row>
    <row r="3114">
      <c r="A3114">
        <f>MOD(3114-1,101)</f>
        <v>83</v>
      </c>
    </row>
    <row r="3115">
      <c r="A3115">
        <f>MOD(3115-1,101)</f>
        <v>84</v>
      </c>
    </row>
    <row r="3116">
      <c r="A3116">
        <f>MOD(3116-1,101)</f>
        <v>85</v>
      </c>
    </row>
    <row r="3117">
      <c r="A3117">
        <f>MOD(3117-1,101)</f>
        <v>86</v>
      </c>
    </row>
    <row r="3118">
      <c r="A3118">
        <f>MOD(3118-1,101)</f>
        <v>87</v>
      </c>
    </row>
    <row r="3119">
      <c r="A3119">
        <f>MOD(3119-1,101)</f>
        <v>88</v>
      </c>
    </row>
    <row r="3120">
      <c r="A3120">
        <f>MOD(3120-1,101)</f>
        <v>89</v>
      </c>
    </row>
    <row r="3121">
      <c r="A3121">
        <f>MOD(3121-1,101)</f>
        <v>90</v>
      </c>
    </row>
    <row r="3122">
      <c r="A3122">
        <f>MOD(3122-1,101)</f>
        <v>91</v>
      </c>
    </row>
    <row r="3123">
      <c r="A3123">
        <f>MOD(3123-1,101)</f>
        <v>92</v>
      </c>
    </row>
    <row r="3124">
      <c r="A3124">
        <f>MOD(3124-1,101)</f>
        <v>93</v>
      </c>
    </row>
    <row r="3125">
      <c r="A3125">
        <f>MOD(3125-1,101)</f>
        <v>94</v>
      </c>
    </row>
    <row r="3126">
      <c r="A3126">
        <f>MOD(3126-1,101)</f>
        <v>95</v>
      </c>
    </row>
    <row r="3127">
      <c r="A3127">
        <f>MOD(3127-1,101)</f>
        <v>96</v>
      </c>
    </row>
    <row r="3128">
      <c r="A3128">
        <f>MOD(3128-1,101)</f>
        <v>97</v>
      </c>
    </row>
    <row r="3129">
      <c r="A3129">
        <f>MOD(3129-1,101)</f>
        <v>98</v>
      </c>
    </row>
    <row r="3130">
      <c r="A3130">
        <f>MOD(3130-1,101)</f>
        <v>99</v>
      </c>
    </row>
    <row r="3131">
      <c r="A3131">
        <f>MOD(3131-1,101)</f>
        <v>100</v>
      </c>
    </row>
    <row r="3132">
      <c r="A3132">
        <f>MOD(3132-1,101)</f>
        <v>0</v>
      </c>
    </row>
    <row r="3133">
      <c r="A3133">
        <f>MOD(3133-1,101)</f>
        <v>1</v>
      </c>
    </row>
    <row r="3134">
      <c r="A3134">
        <f>MOD(3134-1,101)</f>
        <v>2</v>
      </c>
    </row>
    <row r="3135">
      <c r="A3135">
        <f>MOD(3135-1,101)</f>
        <v>3</v>
      </c>
    </row>
    <row r="3136">
      <c r="A3136">
        <f>MOD(3136-1,101)</f>
        <v>4</v>
      </c>
    </row>
    <row r="3137">
      <c r="A3137">
        <f>MOD(3137-1,101)</f>
        <v>5</v>
      </c>
    </row>
    <row r="3138">
      <c r="A3138">
        <f>MOD(3138-1,101)</f>
        <v>6</v>
      </c>
    </row>
    <row r="3139">
      <c r="A3139">
        <f>MOD(3139-1,101)</f>
        <v>7</v>
      </c>
    </row>
    <row r="3140">
      <c r="A3140">
        <f>MOD(3140-1,101)</f>
        <v>8</v>
      </c>
    </row>
    <row r="3141">
      <c r="A3141">
        <f>MOD(3141-1,101)</f>
        <v>9</v>
      </c>
    </row>
    <row r="3142">
      <c r="A3142">
        <f>MOD(3142-1,101)</f>
        <v>10</v>
      </c>
    </row>
    <row r="3143">
      <c r="A3143">
        <f>MOD(3143-1,101)</f>
        <v>11</v>
      </c>
    </row>
    <row r="3144">
      <c r="A3144">
        <f>MOD(3144-1,101)</f>
        <v>12</v>
      </c>
    </row>
    <row r="3145">
      <c r="A3145">
        <f>MOD(3145-1,101)</f>
        <v>13</v>
      </c>
    </row>
    <row r="3146">
      <c r="A3146">
        <f>MOD(3146-1,101)</f>
        <v>14</v>
      </c>
    </row>
    <row r="3147">
      <c r="A3147">
        <f>MOD(3147-1,101)</f>
        <v>15</v>
      </c>
    </row>
    <row r="3148">
      <c r="A3148">
        <f>MOD(3148-1,101)</f>
        <v>16</v>
      </c>
    </row>
    <row r="3149">
      <c r="A3149">
        <f>MOD(3149-1,101)</f>
        <v>17</v>
      </c>
    </row>
    <row r="3150">
      <c r="A3150">
        <f>MOD(3150-1,101)</f>
        <v>18</v>
      </c>
    </row>
    <row r="3151">
      <c r="A3151">
        <f>MOD(3151-1,101)</f>
        <v>19</v>
      </c>
    </row>
    <row r="3152">
      <c r="A3152">
        <f>MOD(3152-1,101)</f>
        <v>20</v>
      </c>
    </row>
    <row r="3153">
      <c r="A3153">
        <f>MOD(3153-1,101)</f>
        <v>21</v>
      </c>
    </row>
    <row r="3154">
      <c r="A3154">
        <f>MOD(3154-1,101)</f>
        <v>22</v>
      </c>
    </row>
    <row r="3155">
      <c r="A3155">
        <f>MOD(3155-1,101)</f>
        <v>23</v>
      </c>
    </row>
    <row r="3156">
      <c r="A3156">
        <f>MOD(3156-1,101)</f>
        <v>24</v>
      </c>
    </row>
    <row r="3157">
      <c r="A3157">
        <f>MOD(3157-1,101)</f>
        <v>25</v>
      </c>
    </row>
    <row r="3158">
      <c r="A3158">
        <f>MOD(3158-1,101)</f>
        <v>26</v>
      </c>
    </row>
    <row r="3159">
      <c r="A3159">
        <f>MOD(3159-1,101)</f>
        <v>27</v>
      </c>
    </row>
    <row r="3160">
      <c r="A3160">
        <f>MOD(3160-1,101)</f>
        <v>28</v>
      </c>
    </row>
    <row r="3161">
      <c r="A3161">
        <f>MOD(3161-1,101)</f>
        <v>29</v>
      </c>
    </row>
    <row r="3162">
      <c r="A3162">
        <f>MOD(3162-1,101)</f>
        <v>30</v>
      </c>
    </row>
    <row r="3163">
      <c r="A3163">
        <f>MOD(3163-1,101)</f>
        <v>31</v>
      </c>
    </row>
    <row r="3164">
      <c r="A3164">
        <f>MOD(3164-1,101)</f>
        <v>32</v>
      </c>
    </row>
    <row r="3165">
      <c r="A3165">
        <f>MOD(3165-1,101)</f>
        <v>33</v>
      </c>
    </row>
    <row r="3166">
      <c r="A3166">
        <f>MOD(3166-1,101)</f>
        <v>34</v>
      </c>
    </row>
    <row r="3167">
      <c r="A3167">
        <f>MOD(3167-1,101)</f>
        <v>35</v>
      </c>
    </row>
    <row r="3168">
      <c r="A3168">
        <f>MOD(3168-1,101)</f>
        <v>36</v>
      </c>
    </row>
    <row r="3169">
      <c r="A3169">
        <f>MOD(3169-1,101)</f>
        <v>37</v>
      </c>
    </row>
    <row r="3170">
      <c r="A3170">
        <f>MOD(3170-1,101)</f>
        <v>38</v>
      </c>
    </row>
    <row r="3171">
      <c r="A3171">
        <f>MOD(3171-1,101)</f>
        <v>39</v>
      </c>
    </row>
    <row r="3172">
      <c r="A3172">
        <f>MOD(3172-1,101)</f>
        <v>40</v>
      </c>
    </row>
    <row r="3173">
      <c r="A3173">
        <f>MOD(3173-1,101)</f>
        <v>41</v>
      </c>
    </row>
    <row r="3174">
      <c r="A3174">
        <f>MOD(3174-1,101)</f>
        <v>42</v>
      </c>
    </row>
    <row r="3175">
      <c r="A3175">
        <f>MOD(3175-1,101)</f>
        <v>43</v>
      </c>
    </row>
    <row r="3176">
      <c r="A3176">
        <f>MOD(3176-1,101)</f>
        <v>44</v>
      </c>
    </row>
    <row r="3177">
      <c r="A3177">
        <f>MOD(3177-1,101)</f>
        <v>45</v>
      </c>
    </row>
    <row r="3178">
      <c r="A3178">
        <f>MOD(3178-1,101)</f>
        <v>46</v>
      </c>
    </row>
    <row r="3179">
      <c r="A3179">
        <f>MOD(3179-1,101)</f>
        <v>47</v>
      </c>
    </row>
    <row r="3180">
      <c r="A3180">
        <f>MOD(3180-1,101)</f>
        <v>48</v>
      </c>
    </row>
    <row r="3181">
      <c r="A3181">
        <f>MOD(3181-1,101)</f>
        <v>49</v>
      </c>
    </row>
    <row r="3182">
      <c r="A3182">
        <f>MOD(3182-1,101)</f>
        <v>50</v>
      </c>
    </row>
    <row r="3183">
      <c r="A3183">
        <f>MOD(3183-1,101)</f>
        <v>51</v>
      </c>
    </row>
    <row r="3184">
      <c r="A3184">
        <f>MOD(3184-1,101)</f>
        <v>52</v>
      </c>
    </row>
    <row r="3185">
      <c r="A3185">
        <f>MOD(3185-1,101)</f>
        <v>53</v>
      </c>
    </row>
    <row r="3186">
      <c r="A3186">
        <f>MOD(3186-1,101)</f>
        <v>54</v>
      </c>
    </row>
    <row r="3187">
      <c r="A3187">
        <f>MOD(3187-1,101)</f>
        <v>55</v>
      </c>
    </row>
    <row r="3188">
      <c r="A3188">
        <f>MOD(3188-1,101)</f>
        <v>56</v>
      </c>
    </row>
    <row r="3189">
      <c r="A3189">
        <f>MOD(3189-1,101)</f>
        <v>57</v>
      </c>
    </row>
    <row r="3190">
      <c r="A3190">
        <f>MOD(3190-1,101)</f>
        <v>58</v>
      </c>
    </row>
    <row r="3191">
      <c r="A3191">
        <f>MOD(3191-1,101)</f>
        <v>59</v>
      </c>
    </row>
    <row r="3192">
      <c r="A3192">
        <f>MOD(3192-1,101)</f>
        <v>60</v>
      </c>
    </row>
    <row r="3193">
      <c r="A3193">
        <f>MOD(3193-1,101)</f>
        <v>61</v>
      </c>
    </row>
    <row r="3194">
      <c r="A3194">
        <f>MOD(3194-1,101)</f>
        <v>62</v>
      </c>
    </row>
    <row r="3195">
      <c r="A3195">
        <f>MOD(3195-1,101)</f>
        <v>63</v>
      </c>
    </row>
    <row r="3196">
      <c r="A3196">
        <f>MOD(3196-1,101)</f>
        <v>64</v>
      </c>
    </row>
    <row r="3197">
      <c r="A3197">
        <f>MOD(3197-1,101)</f>
        <v>65</v>
      </c>
    </row>
    <row r="3198">
      <c r="A3198">
        <f>MOD(3198-1,101)</f>
        <v>66</v>
      </c>
    </row>
    <row r="3199">
      <c r="A3199">
        <f>MOD(3199-1,101)</f>
        <v>67</v>
      </c>
    </row>
    <row r="3200">
      <c r="A3200">
        <f>MOD(3200-1,101)</f>
        <v>68</v>
      </c>
    </row>
    <row r="3201">
      <c r="A3201">
        <f>MOD(3201-1,101)</f>
        <v>69</v>
      </c>
    </row>
    <row r="3202">
      <c r="A3202">
        <f>MOD(3202-1,101)</f>
        <v>70</v>
      </c>
    </row>
    <row r="3203">
      <c r="A3203">
        <f>MOD(3203-1,101)</f>
        <v>71</v>
      </c>
    </row>
    <row r="3204">
      <c r="A3204">
        <f>MOD(3204-1,101)</f>
        <v>72</v>
      </c>
    </row>
    <row r="3205">
      <c r="A3205">
        <f>MOD(3205-1,101)</f>
        <v>73</v>
      </c>
    </row>
    <row r="3206">
      <c r="A3206">
        <f>MOD(3206-1,101)</f>
        <v>74</v>
      </c>
    </row>
    <row r="3207">
      <c r="A3207">
        <f>MOD(3207-1,101)</f>
        <v>75</v>
      </c>
    </row>
    <row r="3208">
      <c r="A3208">
        <f>MOD(3208-1,101)</f>
        <v>76</v>
      </c>
    </row>
    <row r="3209">
      <c r="A3209">
        <f>MOD(3209-1,101)</f>
        <v>77</v>
      </c>
    </row>
    <row r="3210">
      <c r="A3210">
        <f>MOD(3210-1,101)</f>
        <v>78</v>
      </c>
    </row>
    <row r="3211">
      <c r="A3211">
        <f>MOD(3211-1,101)</f>
        <v>79</v>
      </c>
    </row>
    <row r="3212">
      <c r="A3212">
        <f>MOD(3212-1,101)</f>
        <v>80</v>
      </c>
    </row>
    <row r="3213">
      <c r="A3213">
        <f>MOD(3213-1,101)</f>
        <v>81</v>
      </c>
    </row>
    <row r="3214">
      <c r="A3214">
        <f>MOD(3214-1,101)</f>
        <v>82</v>
      </c>
    </row>
    <row r="3215">
      <c r="A3215">
        <f>MOD(3215-1,101)</f>
        <v>83</v>
      </c>
    </row>
    <row r="3216">
      <c r="A3216">
        <f>MOD(3216-1,101)</f>
        <v>84</v>
      </c>
    </row>
    <row r="3217">
      <c r="A3217">
        <f>MOD(3217-1,101)</f>
        <v>85</v>
      </c>
    </row>
    <row r="3218">
      <c r="A3218">
        <f>MOD(3218-1,101)</f>
        <v>86</v>
      </c>
    </row>
    <row r="3219">
      <c r="A3219">
        <f>MOD(3219-1,101)</f>
        <v>87</v>
      </c>
    </row>
    <row r="3220">
      <c r="A3220">
        <f>MOD(3220-1,101)</f>
        <v>88</v>
      </c>
    </row>
    <row r="3221">
      <c r="A3221">
        <f>MOD(3221-1,101)</f>
        <v>89</v>
      </c>
    </row>
    <row r="3222">
      <c r="A3222">
        <f>MOD(3222-1,101)</f>
        <v>90</v>
      </c>
    </row>
    <row r="3223">
      <c r="A3223">
        <f>MOD(3223-1,101)</f>
        <v>91</v>
      </c>
    </row>
    <row r="3224">
      <c r="A3224">
        <f>MOD(3224-1,101)</f>
        <v>92</v>
      </c>
    </row>
    <row r="3225">
      <c r="A3225">
        <f>MOD(3225-1,101)</f>
        <v>93</v>
      </c>
    </row>
    <row r="3226">
      <c r="A3226">
        <f>MOD(3226-1,101)</f>
        <v>94</v>
      </c>
    </row>
    <row r="3227">
      <c r="A3227">
        <f>MOD(3227-1,101)</f>
        <v>95</v>
      </c>
    </row>
    <row r="3228">
      <c r="A3228">
        <f>MOD(3228-1,101)</f>
        <v>96</v>
      </c>
    </row>
    <row r="3229">
      <c r="A3229">
        <f>MOD(3229-1,101)</f>
        <v>97</v>
      </c>
    </row>
    <row r="3230">
      <c r="A3230">
        <f>MOD(3230-1,101)</f>
        <v>98</v>
      </c>
    </row>
    <row r="3231">
      <c r="A3231">
        <f>MOD(3231-1,101)</f>
        <v>99</v>
      </c>
    </row>
    <row r="3232">
      <c r="A3232">
        <f>MOD(3232-1,101)</f>
        <v>100</v>
      </c>
    </row>
    <row r="3233">
      <c r="A3233">
        <f>MOD(3233-1,101)</f>
        <v>0</v>
      </c>
    </row>
    <row r="3234">
      <c r="A3234">
        <f>MOD(3234-1,101)</f>
        <v>1</v>
      </c>
    </row>
    <row r="3235">
      <c r="A3235">
        <f>MOD(3235-1,101)</f>
        <v>2</v>
      </c>
    </row>
    <row r="3236">
      <c r="A3236">
        <f>MOD(3236-1,101)</f>
        <v>3</v>
      </c>
    </row>
    <row r="3237">
      <c r="A3237">
        <f>MOD(3237-1,101)</f>
        <v>4</v>
      </c>
    </row>
    <row r="3238">
      <c r="A3238">
        <f>MOD(3238-1,101)</f>
        <v>5</v>
      </c>
    </row>
    <row r="3239">
      <c r="A3239">
        <f>MOD(3239-1,101)</f>
        <v>6</v>
      </c>
    </row>
    <row r="3240">
      <c r="A3240">
        <f>MOD(3240-1,101)</f>
        <v>7</v>
      </c>
    </row>
    <row r="3241">
      <c r="A3241">
        <f>MOD(3241-1,101)</f>
        <v>8</v>
      </c>
    </row>
    <row r="3242">
      <c r="A3242">
        <f>MOD(3242-1,101)</f>
        <v>9</v>
      </c>
    </row>
    <row r="3243">
      <c r="A3243">
        <f>MOD(3243-1,101)</f>
        <v>10</v>
      </c>
    </row>
    <row r="3244">
      <c r="A3244">
        <f>MOD(3244-1,101)</f>
        <v>11</v>
      </c>
    </row>
    <row r="3245">
      <c r="A3245">
        <f>MOD(3245-1,101)</f>
        <v>12</v>
      </c>
    </row>
    <row r="3246">
      <c r="A3246">
        <f>MOD(3246-1,101)</f>
        <v>13</v>
      </c>
    </row>
    <row r="3247">
      <c r="A3247">
        <f>MOD(3247-1,101)</f>
        <v>14</v>
      </c>
    </row>
    <row r="3248">
      <c r="A3248">
        <f>MOD(3248-1,101)</f>
        <v>15</v>
      </c>
    </row>
    <row r="3249">
      <c r="A3249">
        <f>MOD(3249-1,101)</f>
        <v>16</v>
      </c>
    </row>
    <row r="3250">
      <c r="A3250">
        <f>MOD(3250-1,101)</f>
        <v>17</v>
      </c>
    </row>
    <row r="3251">
      <c r="A3251">
        <f>MOD(3251-1,101)</f>
        <v>18</v>
      </c>
    </row>
    <row r="3252">
      <c r="A3252">
        <f>MOD(3252-1,101)</f>
        <v>19</v>
      </c>
    </row>
    <row r="3253">
      <c r="A3253">
        <f>MOD(3253-1,101)</f>
        <v>20</v>
      </c>
    </row>
    <row r="3254">
      <c r="A3254">
        <f>MOD(3254-1,101)</f>
        <v>21</v>
      </c>
    </row>
    <row r="3255">
      <c r="A3255">
        <f>MOD(3255-1,101)</f>
        <v>22</v>
      </c>
    </row>
    <row r="3256">
      <c r="A3256">
        <f>MOD(3256-1,101)</f>
        <v>23</v>
      </c>
    </row>
    <row r="3257">
      <c r="A3257">
        <f>MOD(3257-1,101)</f>
        <v>24</v>
      </c>
    </row>
    <row r="3258">
      <c r="A3258">
        <f>MOD(3258-1,101)</f>
        <v>25</v>
      </c>
    </row>
    <row r="3259">
      <c r="A3259">
        <f>MOD(3259-1,101)</f>
        <v>26</v>
      </c>
    </row>
    <row r="3260">
      <c r="A3260">
        <f>MOD(3260-1,101)</f>
        <v>27</v>
      </c>
    </row>
    <row r="3261">
      <c r="A3261">
        <f>MOD(3261-1,101)</f>
        <v>28</v>
      </c>
    </row>
    <row r="3262">
      <c r="A3262">
        <f>MOD(3262-1,101)</f>
        <v>29</v>
      </c>
    </row>
    <row r="3263">
      <c r="A3263">
        <f>MOD(3263-1,101)</f>
        <v>30</v>
      </c>
    </row>
    <row r="3264">
      <c r="A3264">
        <f>MOD(3264-1,101)</f>
        <v>31</v>
      </c>
    </row>
    <row r="3265">
      <c r="A3265">
        <f>MOD(3265-1,101)</f>
        <v>32</v>
      </c>
    </row>
    <row r="3266">
      <c r="A3266">
        <f>MOD(3266-1,101)</f>
        <v>33</v>
      </c>
    </row>
    <row r="3267">
      <c r="A3267">
        <f>MOD(3267-1,101)</f>
        <v>34</v>
      </c>
    </row>
    <row r="3268">
      <c r="A3268">
        <f>MOD(3268-1,101)</f>
        <v>35</v>
      </c>
    </row>
    <row r="3269">
      <c r="A3269">
        <f>MOD(3269-1,101)</f>
        <v>36</v>
      </c>
    </row>
    <row r="3270">
      <c r="A3270">
        <f>MOD(3270-1,101)</f>
        <v>37</v>
      </c>
    </row>
    <row r="3271">
      <c r="A3271">
        <f>MOD(3271-1,101)</f>
        <v>38</v>
      </c>
    </row>
    <row r="3272">
      <c r="A3272">
        <f>MOD(3272-1,101)</f>
        <v>39</v>
      </c>
    </row>
    <row r="3273">
      <c r="A3273">
        <f>MOD(3273-1,101)</f>
        <v>40</v>
      </c>
    </row>
    <row r="3274">
      <c r="A3274">
        <f>MOD(3274-1,101)</f>
        <v>41</v>
      </c>
    </row>
    <row r="3275">
      <c r="A3275">
        <f>MOD(3275-1,101)</f>
        <v>42</v>
      </c>
    </row>
    <row r="3276">
      <c r="A3276">
        <f>MOD(3276-1,101)</f>
        <v>43</v>
      </c>
    </row>
    <row r="3277">
      <c r="A3277">
        <f>MOD(3277-1,101)</f>
        <v>44</v>
      </c>
    </row>
    <row r="3278">
      <c r="A3278">
        <f>MOD(3278-1,101)</f>
        <v>45</v>
      </c>
    </row>
    <row r="3279">
      <c r="A3279">
        <f>MOD(3279-1,101)</f>
        <v>46</v>
      </c>
    </row>
    <row r="3280">
      <c r="A3280">
        <f>MOD(3280-1,101)</f>
        <v>47</v>
      </c>
    </row>
    <row r="3281">
      <c r="A3281">
        <f>MOD(3281-1,101)</f>
        <v>48</v>
      </c>
    </row>
    <row r="3282">
      <c r="A3282">
        <f>MOD(3282-1,101)</f>
        <v>49</v>
      </c>
    </row>
    <row r="3283">
      <c r="A3283">
        <f>MOD(3283-1,101)</f>
        <v>50</v>
      </c>
    </row>
    <row r="3284">
      <c r="A3284">
        <f>MOD(3284-1,101)</f>
        <v>51</v>
      </c>
    </row>
    <row r="3285">
      <c r="A3285">
        <f>MOD(3285-1,101)</f>
        <v>52</v>
      </c>
    </row>
    <row r="3286">
      <c r="A3286">
        <f>MOD(3286-1,101)</f>
        <v>53</v>
      </c>
    </row>
    <row r="3287">
      <c r="A3287">
        <f>MOD(3287-1,101)</f>
        <v>54</v>
      </c>
    </row>
    <row r="3288">
      <c r="A3288">
        <f>MOD(3288-1,101)</f>
        <v>55</v>
      </c>
    </row>
    <row r="3289">
      <c r="A3289">
        <f>MOD(3289-1,101)</f>
        <v>56</v>
      </c>
    </row>
    <row r="3290">
      <c r="A3290">
        <f>MOD(3290-1,101)</f>
        <v>57</v>
      </c>
    </row>
    <row r="3291">
      <c r="A3291">
        <f>MOD(3291-1,101)</f>
        <v>58</v>
      </c>
    </row>
    <row r="3292">
      <c r="A3292">
        <f>MOD(3292-1,101)</f>
        <v>59</v>
      </c>
    </row>
    <row r="3293">
      <c r="A3293">
        <f>MOD(3293-1,101)</f>
        <v>60</v>
      </c>
    </row>
    <row r="3294">
      <c r="A3294">
        <f>MOD(3294-1,101)</f>
        <v>61</v>
      </c>
    </row>
    <row r="3295">
      <c r="A3295">
        <f>MOD(3295-1,101)</f>
        <v>62</v>
      </c>
    </row>
    <row r="3296">
      <c r="A3296">
        <f>MOD(3296-1,101)</f>
        <v>63</v>
      </c>
    </row>
    <row r="3297">
      <c r="A3297">
        <f>MOD(3297-1,101)</f>
        <v>64</v>
      </c>
    </row>
    <row r="3298">
      <c r="A3298">
        <f>MOD(3298-1,101)</f>
        <v>65</v>
      </c>
    </row>
    <row r="3299">
      <c r="A3299">
        <f>MOD(3299-1,101)</f>
        <v>66</v>
      </c>
    </row>
    <row r="3300">
      <c r="A3300">
        <f>MOD(3300-1,101)</f>
        <v>67</v>
      </c>
    </row>
    <row r="3301">
      <c r="A3301">
        <f>MOD(3301-1,101)</f>
        <v>68</v>
      </c>
    </row>
    <row r="3302">
      <c r="A3302">
        <f>MOD(3302-1,101)</f>
        <v>69</v>
      </c>
    </row>
    <row r="3303">
      <c r="A3303">
        <f>MOD(3303-1,101)</f>
        <v>70</v>
      </c>
    </row>
    <row r="3304">
      <c r="A3304">
        <f>MOD(3304-1,101)</f>
        <v>71</v>
      </c>
    </row>
    <row r="3305">
      <c r="A3305">
        <f>MOD(3305-1,101)</f>
        <v>72</v>
      </c>
    </row>
    <row r="3306">
      <c r="A3306">
        <f>MOD(3306-1,101)</f>
        <v>73</v>
      </c>
    </row>
    <row r="3307">
      <c r="A3307">
        <f>MOD(3307-1,101)</f>
        <v>74</v>
      </c>
    </row>
    <row r="3308">
      <c r="A3308">
        <f>MOD(3308-1,101)</f>
        <v>75</v>
      </c>
    </row>
    <row r="3309">
      <c r="A3309">
        <f>MOD(3309-1,101)</f>
        <v>76</v>
      </c>
    </row>
    <row r="3310">
      <c r="A3310">
        <f>MOD(3310-1,101)</f>
        <v>77</v>
      </c>
    </row>
    <row r="3311">
      <c r="A3311">
        <f>MOD(3311-1,101)</f>
        <v>78</v>
      </c>
    </row>
    <row r="3312">
      <c r="A3312">
        <f>MOD(3312-1,101)</f>
        <v>79</v>
      </c>
    </row>
    <row r="3313">
      <c r="A3313">
        <f>MOD(3313-1,101)</f>
        <v>80</v>
      </c>
    </row>
    <row r="3314">
      <c r="A3314">
        <f>MOD(3314-1,101)</f>
        <v>81</v>
      </c>
    </row>
    <row r="3315">
      <c r="A3315">
        <f>MOD(3315-1,101)</f>
        <v>82</v>
      </c>
    </row>
    <row r="3316">
      <c r="A3316">
        <f>MOD(3316-1,101)</f>
        <v>83</v>
      </c>
    </row>
    <row r="3317">
      <c r="A3317">
        <f>MOD(3317-1,101)</f>
        <v>84</v>
      </c>
    </row>
    <row r="3318">
      <c r="A3318">
        <f>MOD(3318-1,101)</f>
        <v>85</v>
      </c>
    </row>
    <row r="3319">
      <c r="A3319">
        <f>MOD(3319-1,101)</f>
        <v>86</v>
      </c>
    </row>
    <row r="3320">
      <c r="A3320">
        <f>MOD(3320-1,101)</f>
        <v>87</v>
      </c>
    </row>
    <row r="3321">
      <c r="A3321">
        <f>MOD(3321-1,101)</f>
        <v>88</v>
      </c>
    </row>
    <row r="3322">
      <c r="A3322">
        <f>MOD(3322-1,101)</f>
        <v>89</v>
      </c>
    </row>
    <row r="3323">
      <c r="A3323">
        <f>MOD(3323-1,101)</f>
        <v>90</v>
      </c>
    </row>
    <row r="3324">
      <c r="A3324">
        <f>MOD(3324-1,101)</f>
        <v>91</v>
      </c>
    </row>
    <row r="3325">
      <c r="A3325">
        <f>MOD(3325-1,101)</f>
        <v>92</v>
      </c>
    </row>
    <row r="3326">
      <c r="A3326">
        <f>MOD(3326-1,101)</f>
        <v>93</v>
      </c>
    </row>
    <row r="3327">
      <c r="A3327">
        <f>MOD(3327-1,101)</f>
        <v>94</v>
      </c>
    </row>
    <row r="3328">
      <c r="A3328">
        <f>MOD(3328-1,101)</f>
        <v>95</v>
      </c>
    </row>
    <row r="3329">
      <c r="A3329">
        <f>MOD(3329-1,101)</f>
        <v>96</v>
      </c>
    </row>
    <row r="3330">
      <c r="A3330">
        <f>MOD(3330-1,101)</f>
        <v>97</v>
      </c>
    </row>
    <row r="3331">
      <c r="A3331">
        <f>MOD(3331-1,101)</f>
        <v>98</v>
      </c>
    </row>
    <row r="3332">
      <c r="A3332">
        <f>MOD(3332-1,101)</f>
        <v>99</v>
      </c>
    </row>
    <row r="3333">
      <c r="A3333">
        <f>MOD(3333-1,101)</f>
        <v>100</v>
      </c>
    </row>
    <row r="3334">
      <c r="A3334">
        <f>MOD(3334-1,101)</f>
        <v>0</v>
      </c>
    </row>
    <row r="3335">
      <c r="A3335">
        <f>MOD(3335-1,101)</f>
        <v>1</v>
      </c>
    </row>
    <row r="3336">
      <c r="A3336">
        <f>MOD(3336-1,101)</f>
        <v>2</v>
      </c>
    </row>
    <row r="3337">
      <c r="A3337">
        <f>MOD(3337-1,101)</f>
        <v>3</v>
      </c>
    </row>
    <row r="3338">
      <c r="A3338">
        <f>MOD(3338-1,101)</f>
        <v>4</v>
      </c>
    </row>
    <row r="3339">
      <c r="A3339">
        <f>MOD(3339-1,101)</f>
        <v>5</v>
      </c>
    </row>
    <row r="3340">
      <c r="A3340">
        <f>MOD(3340-1,101)</f>
        <v>6</v>
      </c>
    </row>
    <row r="3341">
      <c r="A3341">
        <f>MOD(3341-1,101)</f>
        <v>7</v>
      </c>
    </row>
    <row r="3342">
      <c r="A3342">
        <f>MOD(3342-1,101)</f>
        <v>8</v>
      </c>
    </row>
    <row r="3343">
      <c r="A3343">
        <f>MOD(3343-1,101)</f>
        <v>9</v>
      </c>
    </row>
    <row r="3344">
      <c r="A3344">
        <f>MOD(3344-1,101)</f>
        <v>10</v>
      </c>
    </row>
    <row r="3345">
      <c r="A3345">
        <f>MOD(3345-1,101)</f>
        <v>11</v>
      </c>
    </row>
    <row r="3346">
      <c r="A3346">
        <f>MOD(3346-1,101)</f>
        <v>12</v>
      </c>
    </row>
    <row r="3347">
      <c r="A3347">
        <f>MOD(3347-1,101)</f>
        <v>13</v>
      </c>
    </row>
    <row r="3348">
      <c r="A3348">
        <f>MOD(3348-1,101)</f>
        <v>14</v>
      </c>
    </row>
    <row r="3349">
      <c r="A3349">
        <f>MOD(3349-1,101)</f>
        <v>15</v>
      </c>
    </row>
    <row r="3350">
      <c r="A3350">
        <f>MOD(3350-1,101)</f>
        <v>16</v>
      </c>
    </row>
    <row r="3351">
      <c r="A3351">
        <f>MOD(3351-1,101)</f>
        <v>17</v>
      </c>
    </row>
    <row r="3352">
      <c r="A3352">
        <f>MOD(3352-1,101)</f>
        <v>18</v>
      </c>
    </row>
    <row r="3353">
      <c r="A3353">
        <f>MOD(3353-1,101)</f>
        <v>19</v>
      </c>
    </row>
    <row r="3354">
      <c r="A3354">
        <f>MOD(3354-1,101)</f>
        <v>20</v>
      </c>
    </row>
    <row r="3355">
      <c r="A3355">
        <f>MOD(3355-1,101)</f>
        <v>21</v>
      </c>
    </row>
    <row r="3356">
      <c r="A3356">
        <f>MOD(3356-1,101)</f>
        <v>22</v>
      </c>
    </row>
    <row r="3357">
      <c r="A3357">
        <f>MOD(3357-1,101)</f>
        <v>23</v>
      </c>
    </row>
    <row r="3358">
      <c r="A3358">
        <f>MOD(3358-1,101)</f>
        <v>24</v>
      </c>
    </row>
    <row r="3359">
      <c r="A3359">
        <f>MOD(3359-1,101)</f>
        <v>25</v>
      </c>
    </row>
    <row r="3360">
      <c r="A3360">
        <f>MOD(3360-1,101)</f>
        <v>26</v>
      </c>
    </row>
    <row r="3361">
      <c r="A3361">
        <f>MOD(3361-1,101)</f>
        <v>27</v>
      </c>
    </row>
    <row r="3362">
      <c r="A3362">
        <f>MOD(3362-1,101)</f>
        <v>28</v>
      </c>
    </row>
    <row r="3363">
      <c r="A3363">
        <f>MOD(3363-1,101)</f>
        <v>29</v>
      </c>
    </row>
    <row r="3364">
      <c r="A3364">
        <f>MOD(3364-1,101)</f>
        <v>30</v>
      </c>
    </row>
    <row r="3365">
      <c r="A3365">
        <f>MOD(3365-1,101)</f>
        <v>31</v>
      </c>
    </row>
    <row r="3366">
      <c r="A3366">
        <f>MOD(3366-1,101)</f>
        <v>32</v>
      </c>
    </row>
    <row r="3367">
      <c r="A3367">
        <f>MOD(3367-1,101)</f>
        <v>33</v>
      </c>
    </row>
    <row r="3368">
      <c r="A3368">
        <f>MOD(3368-1,101)</f>
        <v>34</v>
      </c>
    </row>
    <row r="3369">
      <c r="A3369">
        <f>MOD(3369-1,101)</f>
        <v>35</v>
      </c>
    </row>
    <row r="3370">
      <c r="A3370">
        <f>MOD(3370-1,101)</f>
        <v>36</v>
      </c>
    </row>
    <row r="3371">
      <c r="A3371">
        <f>MOD(3371-1,101)</f>
        <v>37</v>
      </c>
    </row>
    <row r="3372">
      <c r="A3372">
        <f>MOD(3372-1,101)</f>
        <v>38</v>
      </c>
    </row>
    <row r="3373">
      <c r="A3373">
        <f>MOD(3373-1,101)</f>
        <v>39</v>
      </c>
    </row>
    <row r="3374">
      <c r="A3374">
        <f>MOD(3374-1,101)</f>
        <v>40</v>
      </c>
    </row>
    <row r="3375">
      <c r="A3375">
        <f>MOD(3375-1,101)</f>
        <v>41</v>
      </c>
    </row>
    <row r="3376">
      <c r="A3376">
        <f>MOD(3376-1,101)</f>
        <v>42</v>
      </c>
    </row>
    <row r="3377">
      <c r="A3377">
        <f>MOD(3377-1,101)</f>
        <v>43</v>
      </c>
    </row>
    <row r="3378">
      <c r="A3378">
        <f>MOD(3378-1,101)</f>
        <v>44</v>
      </c>
    </row>
    <row r="3379">
      <c r="A3379">
        <f>MOD(3379-1,101)</f>
        <v>45</v>
      </c>
    </row>
    <row r="3380">
      <c r="A3380">
        <f>MOD(3380-1,101)</f>
        <v>46</v>
      </c>
    </row>
    <row r="3381">
      <c r="A3381">
        <f>MOD(3381-1,101)</f>
        <v>47</v>
      </c>
    </row>
    <row r="3382">
      <c r="A3382">
        <f>MOD(3382-1,101)</f>
        <v>48</v>
      </c>
    </row>
    <row r="3383">
      <c r="A3383">
        <f>MOD(3383-1,101)</f>
        <v>49</v>
      </c>
    </row>
    <row r="3384">
      <c r="A3384">
        <f>MOD(3384-1,101)</f>
        <v>50</v>
      </c>
    </row>
    <row r="3385">
      <c r="A3385">
        <f>MOD(3385-1,101)</f>
        <v>51</v>
      </c>
    </row>
    <row r="3386">
      <c r="A3386">
        <f>MOD(3386-1,101)</f>
        <v>52</v>
      </c>
    </row>
    <row r="3387">
      <c r="A3387">
        <f>MOD(3387-1,101)</f>
        <v>53</v>
      </c>
    </row>
    <row r="3388">
      <c r="A3388">
        <f>MOD(3388-1,101)</f>
        <v>54</v>
      </c>
    </row>
    <row r="3389">
      <c r="A3389">
        <f>MOD(3389-1,101)</f>
        <v>55</v>
      </c>
    </row>
    <row r="3390">
      <c r="A3390">
        <f>MOD(3390-1,101)</f>
        <v>56</v>
      </c>
    </row>
    <row r="3391">
      <c r="A3391">
        <f>MOD(3391-1,101)</f>
        <v>57</v>
      </c>
    </row>
    <row r="3392">
      <c r="A3392">
        <f>MOD(3392-1,101)</f>
        <v>58</v>
      </c>
    </row>
    <row r="3393">
      <c r="A3393">
        <f>MOD(3393-1,101)</f>
        <v>59</v>
      </c>
    </row>
    <row r="3394">
      <c r="A3394">
        <f>MOD(3394-1,101)</f>
        <v>60</v>
      </c>
    </row>
    <row r="3395">
      <c r="A3395">
        <f>MOD(3395-1,101)</f>
        <v>61</v>
      </c>
    </row>
    <row r="3396">
      <c r="A3396">
        <f>MOD(3396-1,101)</f>
        <v>62</v>
      </c>
    </row>
    <row r="3397">
      <c r="A3397">
        <f>MOD(3397-1,101)</f>
        <v>63</v>
      </c>
    </row>
    <row r="3398">
      <c r="A3398">
        <f>MOD(3398-1,101)</f>
        <v>64</v>
      </c>
    </row>
    <row r="3399">
      <c r="A3399">
        <f>MOD(3399-1,101)</f>
        <v>65</v>
      </c>
    </row>
    <row r="3400">
      <c r="A3400">
        <f>MOD(3400-1,101)</f>
        <v>66</v>
      </c>
    </row>
    <row r="3401">
      <c r="A3401">
        <f>MOD(3401-1,101)</f>
        <v>67</v>
      </c>
    </row>
    <row r="3402">
      <c r="A3402">
        <f>MOD(3402-1,101)</f>
        <v>68</v>
      </c>
    </row>
    <row r="3403">
      <c r="A3403">
        <f>MOD(3403-1,101)</f>
        <v>69</v>
      </c>
    </row>
    <row r="3404">
      <c r="A3404">
        <f>MOD(3404-1,101)</f>
        <v>70</v>
      </c>
    </row>
    <row r="3405">
      <c r="A3405">
        <f>MOD(3405-1,101)</f>
        <v>71</v>
      </c>
    </row>
    <row r="3406">
      <c r="A3406">
        <f>MOD(3406-1,101)</f>
        <v>72</v>
      </c>
    </row>
    <row r="3407">
      <c r="A3407">
        <f>MOD(3407-1,101)</f>
        <v>73</v>
      </c>
    </row>
    <row r="3408">
      <c r="A3408">
        <f>MOD(3408-1,101)</f>
        <v>74</v>
      </c>
    </row>
    <row r="3409">
      <c r="A3409">
        <f>MOD(3409-1,101)</f>
        <v>75</v>
      </c>
    </row>
    <row r="3410">
      <c r="A3410">
        <f>MOD(3410-1,101)</f>
        <v>76</v>
      </c>
    </row>
    <row r="3411">
      <c r="A3411">
        <f>MOD(3411-1,101)</f>
        <v>77</v>
      </c>
    </row>
    <row r="3412">
      <c r="A3412">
        <f>MOD(3412-1,101)</f>
        <v>78</v>
      </c>
    </row>
    <row r="3413">
      <c r="A3413">
        <f>MOD(3413-1,101)</f>
        <v>79</v>
      </c>
    </row>
    <row r="3414">
      <c r="A3414">
        <f>MOD(3414-1,101)</f>
        <v>80</v>
      </c>
    </row>
    <row r="3415">
      <c r="A3415">
        <f>MOD(3415-1,101)</f>
        <v>81</v>
      </c>
    </row>
    <row r="3416">
      <c r="A3416">
        <f>MOD(3416-1,101)</f>
        <v>82</v>
      </c>
    </row>
    <row r="3417">
      <c r="A3417">
        <f>MOD(3417-1,101)</f>
        <v>83</v>
      </c>
    </row>
    <row r="3418">
      <c r="A3418">
        <f>MOD(3418-1,101)</f>
        <v>84</v>
      </c>
    </row>
    <row r="3419">
      <c r="A3419">
        <f>MOD(3419-1,101)</f>
        <v>85</v>
      </c>
    </row>
    <row r="3420">
      <c r="A3420">
        <f>MOD(3420-1,101)</f>
        <v>86</v>
      </c>
    </row>
    <row r="3421">
      <c r="A3421">
        <f>MOD(3421-1,101)</f>
        <v>87</v>
      </c>
    </row>
    <row r="3422">
      <c r="A3422">
        <f>MOD(3422-1,101)</f>
        <v>88</v>
      </c>
    </row>
    <row r="3423">
      <c r="A3423">
        <f>MOD(3423-1,101)</f>
        <v>89</v>
      </c>
    </row>
    <row r="3424">
      <c r="A3424">
        <f>MOD(3424-1,101)</f>
        <v>90</v>
      </c>
    </row>
    <row r="3425">
      <c r="A3425">
        <f>MOD(3425-1,101)</f>
        <v>91</v>
      </c>
    </row>
    <row r="3426">
      <c r="A3426">
        <f>MOD(3426-1,101)</f>
        <v>92</v>
      </c>
    </row>
    <row r="3427">
      <c r="A3427">
        <f>MOD(3427-1,101)</f>
        <v>93</v>
      </c>
    </row>
    <row r="3428">
      <c r="A3428">
        <f>MOD(3428-1,101)</f>
        <v>94</v>
      </c>
    </row>
    <row r="3429">
      <c r="A3429">
        <f>MOD(3429-1,101)</f>
        <v>95</v>
      </c>
    </row>
    <row r="3430">
      <c r="A3430">
        <f>MOD(3430-1,101)</f>
        <v>96</v>
      </c>
    </row>
    <row r="3431">
      <c r="A3431">
        <f>MOD(3431-1,101)</f>
        <v>97</v>
      </c>
    </row>
    <row r="3432">
      <c r="A3432">
        <f>MOD(3432-1,101)</f>
        <v>98</v>
      </c>
    </row>
    <row r="3433">
      <c r="A3433">
        <f>MOD(3433-1,101)</f>
        <v>99</v>
      </c>
    </row>
    <row r="3434">
      <c r="A3434">
        <f>MOD(3434-1,101)</f>
        <v>100</v>
      </c>
    </row>
    <row r="3435">
      <c r="A3435">
        <f>MOD(3435-1,101)</f>
        <v>0</v>
      </c>
    </row>
    <row r="3436">
      <c r="A3436">
        <f>MOD(3436-1,101)</f>
        <v>1</v>
      </c>
    </row>
    <row r="3437">
      <c r="A3437">
        <f>MOD(3437-1,101)</f>
        <v>2</v>
      </c>
    </row>
    <row r="3438">
      <c r="A3438">
        <f>MOD(3438-1,101)</f>
        <v>3</v>
      </c>
    </row>
    <row r="3439">
      <c r="A3439">
        <f>MOD(3439-1,101)</f>
        <v>4</v>
      </c>
    </row>
    <row r="3440">
      <c r="A3440">
        <f>MOD(3440-1,101)</f>
        <v>5</v>
      </c>
    </row>
    <row r="3441">
      <c r="A3441">
        <f>MOD(3441-1,101)</f>
        <v>6</v>
      </c>
    </row>
    <row r="3442">
      <c r="A3442">
        <f>MOD(3442-1,101)</f>
        <v>7</v>
      </c>
    </row>
    <row r="3443">
      <c r="A3443">
        <f>MOD(3443-1,101)</f>
        <v>8</v>
      </c>
    </row>
    <row r="3444">
      <c r="A3444">
        <f>MOD(3444-1,101)</f>
        <v>9</v>
      </c>
    </row>
    <row r="3445">
      <c r="A3445">
        <f>MOD(3445-1,101)</f>
        <v>10</v>
      </c>
    </row>
    <row r="3446">
      <c r="A3446">
        <f>MOD(3446-1,101)</f>
        <v>11</v>
      </c>
    </row>
    <row r="3447">
      <c r="A3447">
        <f>MOD(3447-1,101)</f>
        <v>12</v>
      </c>
    </row>
    <row r="3448">
      <c r="A3448">
        <f>MOD(3448-1,101)</f>
        <v>13</v>
      </c>
    </row>
    <row r="3449">
      <c r="A3449">
        <f>MOD(3449-1,101)</f>
        <v>14</v>
      </c>
    </row>
    <row r="3450">
      <c r="A3450">
        <f>MOD(3450-1,101)</f>
        <v>15</v>
      </c>
    </row>
    <row r="3451">
      <c r="A3451">
        <f>MOD(3451-1,101)</f>
        <v>16</v>
      </c>
    </row>
    <row r="3452">
      <c r="A3452">
        <f>MOD(3452-1,101)</f>
        <v>17</v>
      </c>
    </row>
    <row r="3453">
      <c r="A3453">
        <f>MOD(3453-1,101)</f>
        <v>18</v>
      </c>
    </row>
    <row r="3454">
      <c r="A3454">
        <f>MOD(3454-1,101)</f>
        <v>19</v>
      </c>
    </row>
    <row r="3455">
      <c r="A3455">
        <f>MOD(3455-1,101)</f>
        <v>20</v>
      </c>
    </row>
    <row r="3456">
      <c r="A3456">
        <f>MOD(3456-1,101)</f>
        <v>21</v>
      </c>
    </row>
    <row r="3457">
      <c r="A3457">
        <f>MOD(3457-1,101)</f>
        <v>22</v>
      </c>
    </row>
    <row r="3458">
      <c r="A3458">
        <f>MOD(3458-1,101)</f>
        <v>23</v>
      </c>
    </row>
    <row r="3459">
      <c r="A3459">
        <f>MOD(3459-1,101)</f>
        <v>24</v>
      </c>
    </row>
    <row r="3460">
      <c r="A3460">
        <f>MOD(3460-1,101)</f>
        <v>25</v>
      </c>
    </row>
    <row r="3461">
      <c r="A3461">
        <f>MOD(3461-1,101)</f>
        <v>26</v>
      </c>
    </row>
    <row r="3462">
      <c r="A3462">
        <f>MOD(3462-1,101)</f>
        <v>27</v>
      </c>
    </row>
    <row r="3463">
      <c r="A3463">
        <f>MOD(3463-1,101)</f>
        <v>28</v>
      </c>
    </row>
    <row r="3464">
      <c r="A3464">
        <f>MOD(3464-1,101)</f>
        <v>29</v>
      </c>
    </row>
    <row r="3465">
      <c r="A3465">
        <f>MOD(3465-1,101)</f>
        <v>30</v>
      </c>
    </row>
    <row r="3466">
      <c r="A3466">
        <f>MOD(3466-1,101)</f>
        <v>31</v>
      </c>
    </row>
    <row r="3467">
      <c r="A3467">
        <f>MOD(3467-1,101)</f>
        <v>32</v>
      </c>
    </row>
    <row r="3468">
      <c r="A3468">
        <f>MOD(3468-1,101)</f>
        <v>33</v>
      </c>
    </row>
    <row r="3469">
      <c r="A3469">
        <f>MOD(3469-1,101)</f>
        <v>34</v>
      </c>
    </row>
    <row r="3470">
      <c r="A3470">
        <f>MOD(3470-1,101)</f>
        <v>35</v>
      </c>
    </row>
    <row r="3471">
      <c r="A3471">
        <f>MOD(3471-1,101)</f>
        <v>36</v>
      </c>
    </row>
    <row r="3472">
      <c r="A3472">
        <f>MOD(3472-1,101)</f>
        <v>37</v>
      </c>
    </row>
    <row r="3473">
      <c r="A3473">
        <f>MOD(3473-1,101)</f>
        <v>38</v>
      </c>
    </row>
    <row r="3474">
      <c r="A3474">
        <f>MOD(3474-1,101)</f>
        <v>39</v>
      </c>
    </row>
    <row r="3475">
      <c r="A3475">
        <f>MOD(3475-1,101)</f>
        <v>40</v>
      </c>
    </row>
    <row r="3476">
      <c r="A3476">
        <f>MOD(3476-1,101)</f>
        <v>41</v>
      </c>
    </row>
    <row r="3477">
      <c r="A3477">
        <f>MOD(3477-1,101)</f>
        <v>42</v>
      </c>
    </row>
    <row r="3478">
      <c r="A3478">
        <f>MOD(3478-1,101)</f>
        <v>43</v>
      </c>
    </row>
    <row r="3479">
      <c r="A3479">
        <f>MOD(3479-1,101)</f>
        <v>44</v>
      </c>
    </row>
    <row r="3480">
      <c r="A3480">
        <f>MOD(3480-1,101)</f>
        <v>45</v>
      </c>
    </row>
    <row r="3481">
      <c r="A3481">
        <f>MOD(3481-1,101)</f>
        <v>46</v>
      </c>
    </row>
    <row r="3482">
      <c r="A3482">
        <f>MOD(3482-1,101)</f>
        <v>47</v>
      </c>
    </row>
    <row r="3483">
      <c r="A3483">
        <f>MOD(3483-1,101)</f>
        <v>48</v>
      </c>
    </row>
    <row r="3484">
      <c r="A3484">
        <f>MOD(3484-1,101)</f>
        <v>49</v>
      </c>
    </row>
    <row r="3485">
      <c r="A3485">
        <f>MOD(3485-1,101)</f>
        <v>50</v>
      </c>
    </row>
    <row r="3486">
      <c r="A3486">
        <f>MOD(3486-1,101)</f>
        <v>51</v>
      </c>
    </row>
    <row r="3487">
      <c r="A3487">
        <f>MOD(3487-1,101)</f>
        <v>52</v>
      </c>
    </row>
    <row r="3488">
      <c r="A3488">
        <f>MOD(3488-1,101)</f>
        <v>53</v>
      </c>
    </row>
    <row r="3489">
      <c r="A3489">
        <f>MOD(3489-1,101)</f>
        <v>54</v>
      </c>
    </row>
    <row r="3490">
      <c r="A3490">
        <f>MOD(3490-1,101)</f>
        <v>55</v>
      </c>
    </row>
    <row r="3491">
      <c r="A3491">
        <f>MOD(3491-1,101)</f>
        <v>56</v>
      </c>
    </row>
    <row r="3492">
      <c r="A3492">
        <f>MOD(3492-1,101)</f>
        <v>57</v>
      </c>
    </row>
    <row r="3493">
      <c r="A3493">
        <f>MOD(3493-1,101)</f>
        <v>58</v>
      </c>
    </row>
    <row r="3494">
      <c r="A3494">
        <f>MOD(3494-1,101)</f>
        <v>59</v>
      </c>
    </row>
    <row r="3495">
      <c r="A3495">
        <f>MOD(3495-1,101)</f>
        <v>60</v>
      </c>
    </row>
    <row r="3496">
      <c r="A3496">
        <f>MOD(3496-1,101)</f>
        <v>61</v>
      </c>
    </row>
    <row r="3497">
      <c r="A3497">
        <f>MOD(3497-1,101)</f>
        <v>62</v>
      </c>
    </row>
    <row r="3498">
      <c r="A3498">
        <f>MOD(3498-1,101)</f>
        <v>63</v>
      </c>
    </row>
    <row r="3499">
      <c r="A3499">
        <f>MOD(3499-1,101)</f>
        <v>64</v>
      </c>
    </row>
    <row r="3500">
      <c r="A3500">
        <f>MOD(3500-1,101)</f>
        <v>65</v>
      </c>
    </row>
    <row r="3501">
      <c r="A3501">
        <f>MOD(3501-1,101)</f>
        <v>66</v>
      </c>
    </row>
    <row r="3502">
      <c r="A3502">
        <f>MOD(3502-1,101)</f>
        <v>67</v>
      </c>
    </row>
    <row r="3503">
      <c r="A3503">
        <f>MOD(3503-1,101)</f>
        <v>68</v>
      </c>
    </row>
    <row r="3504">
      <c r="A3504">
        <f>MOD(3504-1,101)</f>
        <v>69</v>
      </c>
    </row>
    <row r="3505">
      <c r="A3505">
        <f>MOD(3505-1,101)</f>
        <v>70</v>
      </c>
    </row>
    <row r="3506">
      <c r="A3506">
        <f>MOD(3506-1,101)</f>
        <v>71</v>
      </c>
    </row>
    <row r="3507">
      <c r="A3507">
        <f>MOD(3507-1,101)</f>
        <v>72</v>
      </c>
    </row>
    <row r="3508">
      <c r="A3508">
        <f>MOD(3508-1,101)</f>
        <v>73</v>
      </c>
    </row>
    <row r="3509">
      <c r="A3509">
        <f>MOD(3509-1,101)</f>
        <v>74</v>
      </c>
    </row>
    <row r="3510">
      <c r="A3510">
        <f>MOD(3510-1,101)</f>
        <v>75</v>
      </c>
    </row>
    <row r="3511">
      <c r="A3511">
        <f>MOD(3511-1,101)</f>
        <v>76</v>
      </c>
    </row>
    <row r="3512">
      <c r="A3512">
        <f>MOD(3512-1,101)</f>
        <v>77</v>
      </c>
    </row>
    <row r="3513">
      <c r="A3513">
        <f>MOD(3513-1,101)</f>
        <v>78</v>
      </c>
    </row>
    <row r="3514">
      <c r="A3514">
        <f>MOD(3514-1,101)</f>
        <v>79</v>
      </c>
    </row>
    <row r="3515">
      <c r="A3515">
        <f>MOD(3515-1,101)</f>
        <v>80</v>
      </c>
    </row>
    <row r="3516">
      <c r="A3516">
        <f>MOD(3516-1,101)</f>
        <v>81</v>
      </c>
    </row>
    <row r="3517">
      <c r="A3517">
        <f>MOD(3517-1,101)</f>
        <v>82</v>
      </c>
    </row>
    <row r="3518">
      <c r="A3518">
        <f>MOD(3518-1,101)</f>
        <v>83</v>
      </c>
    </row>
    <row r="3519">
      <c r="A3519">
        <f>MOD(3519-1,101)</f>
        <v>84</v>
      </c>
    </row>
    <row r="3520">
      <c r="A3520">
        <f>MOD(3520-1,101)</f>
        <v>85</v>
      </c>
    </row>
    <row r="3521">
      <c r="A3521">
        <f>MOD(3521-1,101)</f>
        <v>86</v>
      </c>
    </row>
    <row r="3522">
      <c r="A3522">
        <f>MOD(3522-1,101)</f>
        <v>87</v>
      </c>
    </row>
    <row r="3523">
      <c r="A3523">
        <f>MOD(3523-1,101)</f>
        <v>88</v>
      </c>
    </row>
    <row r="3524">
      <c r="A3524">
        <f>MOD(3524-1,101)</f>
        <v>89</v>
      </c>
    </row>
    <row r="3525">
      <c r="A3525">
        <f>MOD(3525-1,101)</f>
        <v>90</v>
      </c>
    </row>
    <row r="3526">
      <c r="A3526">
        <f>MOD(3526-1,101)</f>
        <v>91</v>
      </c>
    </row>
    <row r="3527">
      <c r="A3527">
        <f>MOD(3527-1,101)</f>
        <v>92</v>
      </c>
    </row>
    <row r="3528">
      <c r="A3528">
        <f>MOD(3528-1,101)</f>
        <v>93</v>
      </c>
    </row>
    <row r="3529">
      <c r="A3529">
        <f>MOD(3529-1,101)</f>
        <v>94</v>
      </c>
    </row>
    <row r="3530">
      <c r="A3530">
        <f>MOD(3530-1,101)</f>
        <v>95</v>
      </c>
    </row>
    <row r="3531">
      <c r="A3531">
        <f>MOD(3531-1,101)</f>
        <v>96</v>
      </c>
    </row>
    <row r="3532">
      <c r="A3532">
        <f>MOD(3532-1,101)</f>
        <v>97</v>
      </c>
    </row>
    <row r="3533">
      <c r="A3533">
        <f>MOD(3533-1,101)</f>
        <v>98</v>
      </c>
    </row>
    <row r="3534">
      <c r="A3534">
        <f>MOD(3534-1,101)</f>
        <v>99</v>
      </c>
    </row>
    <row r="3535">
      <c r="A3535">
        <f>MOD(3535-1,101)</f>
        <v>100</v>
      </c>
    </row>
    <row r="3536">
      <c r="A3536">
        <f>MOD(3536-1,101)</f>
        <v>0</v>
      </c>
    </row>
    <row r="3537">
      <c r="A3537">
        <f>MOD(3537-1,101)</f>
        <v>1</v>
      </c>
    </row>
    <row r="3538">
      <c r="A3538">
        <f>MOD(3538-1,101)</f>
        <v>2</v>
      </c>
    </row>
    <row r="3539">
      <c r="A3539">
        <f>MOD(3539-1,101)</f>
        <v>3</v>
      </c>
    </row>
    <row r="3540">
      <c r="A3540">
        <f>MOD(3540-1,101)</f>
        <v>4</v>
      </c>
    </row>
    <row r="3541">
      <c r="A3541">
        <f>MOD(3541-1,101)</f>
        <v>5</v>
      </c>
    </row>
    <row r="3542">
      <c r="A3542">
        <f>MOD(3542-1,101)</f>
        <v>6</v>
      </c>
    </row>
    <row r="3543">
      <c r="A3543">
        <f>MOD(3543-1,101)</f>
        <v>7</v>
      </c>
    </row>
    <row r="3544">
      <c r="A3544">
        <f>MOD(3544-1,101)</f>
        <v>8</v>
      </c>
    </row>
    <row r="3545">
      <c r="A3545">
        <f>MOD(3545-1,101)</f>
        <v>9</v>
      </c>
    </row>
    <row r="3546">
      <c r="A3546">
        <f>MOD(3546-1,101)</f>
        <v>10</v>
      </c>
    </row>
    <row r="3547">
      <c r="A3547">
        <f>MOD(3547-1,101)</f>
        <v>11</v>
      </c>
    </row>
    <row r="3548">
      <c r="A3548">
        <f>MOD(3548-1,101)</f>
        <v>12</v>
      </c>
    </row>
    <row r="3549">
      <c r="A3549">
        <f>MOD(3549-1,101)</f>
        <v>13</v>
      </c>
    </row>
    <row r="3550">
      <c r="A3550">
        <f>MOD(3550-1,101)</f>
        <v>14</v>
      </c>
    </row>
    <row r="3551">
      <c r="A3551">
        <f>MOD(3551-1,101)</f>
        <v>15</v>
      </c>
    </row>
    <row r="3552">
      <c r="A3552">
        <f>MOD(3552-1,101)</f>
        <v>16</v>
      </c>
    </row>
    <row r="3553">
      <c r="A3553">
        <f>MOD(3553-1,101)</f>
        <v>17</v>
      </c>
    </row>
    <row r="3554">
      <c r="A3554">
        <f>MOD(3554-1,101)</f>
        <v>18</v>
      </c>
    </row>
    <row r="3555">
      <c r="A3555">
        <f>MOD(3555-1,101)</f>
        <v>19</v>
      </c>
    </row>
    <row r="3556">
      <c r="A3556">
        <f>MOD(3556-1,101)</f>
        <v>20</v>
      </c>
    </row>
    <row r="3557">
      <c r="A3557">
        <f>MOD(3557-1,101)</f>
        <v>21</v>
      </c>
    </row>
    <row r="3558">
      <c r="A3558">
        <f>MOD(3558-1,101)</f>
        <v>22</v>
      </c>
    </row>
    <row r="3559">
      <c r="A3559">
        <f>MOD(3559-1,101)</f>
        <v>23</v>
      </c>
    </row>
    <row r="3560">
      <c r="A3560">
        <f>MOD(3560-1,101)</f>
        <v>24</v>
      </c>
    </row>
    <row r="3561">
      <c r="A3561">
        <f>MOD(3561-1,101)</f>
        <v>25</v>
      </c>
    </row>
    <row r="3562">
      <c r="A3562">
        <f>MOD(3562-1,101)</f>
        <v>26</v>
      </c>
    </row>
    <row r="3563">
      <c r="A3563">
        <f>MOD(3563-1,101)</f>
        <v>27</v>
      </c>
    </row>
    <row r="3564">
      <c r="A3564">
        <f>MOD(3564-1,101)</f>
        <v>28</v>
      </c>
    </row>
    <row r="3565">
      <c r="A3565">
        <f>MOD(3565-1,101)</f>
        <v>29</v>
      </c>
    </row>
    <row r="3566">
      <c r="A3566">
        <f>MOD(3566-1,101)</f>
        <v>30</v>
      </c>
    </row>
    <row r="3567">
      <c r="A3567">
        <f>MOD(3567-1,101)</f>
        <v>31</v>
      </c>
    </row>
    <row r="3568">
      <c r="A3568">
        <f>MOD(3568-1,101)</f>
        <v>32</v>
      </c>
    </row>
    <row r="3569">
      <c r="A3569">
        <f>MOD(3569-1,101)</f>
        <v>33</v>
      </c>
    </row>
    <row r="3570">
      <c r="A3570">
        <f>MOD(3570-1,101)</f>
        <v>34</v>
      </c>
    </row>
    <row r="3571">
      <c r="A3571">
        <f>MOD(3571-1,101)</f>
        <v>35</v>
      </c>
    </row>
    <row r="3572">
      <c r="A3572">
        <f>MOD(3572-1,101)</f>
        <v>36</v>
      </c>
    </row>
    <row r="3573">
      <c r="A3573">
        <f>MOD(3573-1,101)</f>
        <v>37</v>
      </c>
    </row>
    <row r="3574">
      <c r="A3574">
        <f>MOD(3574-1,101)</f>
        <v>38</v>
      </c>
    </row>
    <row r="3575">
      <c r="A3575">
        <f>MOD(3575-1,101)</f>
        <v>39</v>
      </c>
    </row>
    <row r="3576">
      <c r="A3576">
        <f>MOD(3576-1,101)</f>
        <v>40</v>
      </c>
    </row>
    <row r="3577">
      <c r="A3577">
        <f>MOD(3577-1,101)</f>
        <v>41</v>
      </c>
    </row>
    <row r="3578">
      <c r="A3578">
        <f>MOD(3578-1,101)</f>
        <v>42</v>
      </c>
    </row>
    <row r="3579">
      <c r="A3579">
        <f>MOD(3579-1,101)</f>
        <v>43</v>
      </c>
    </row>
    <row r="3580">
      <c r="A3580">
        <f>MOD(3580-1,101)</f>
        <v>44</v>
      </c>
    </row>
    <row r="3581">
      <c r="A3581">
        <f>MOD(3581-1,101)</f>
        <v>45</v>
      </c>
    </row>
    <row r="3582">
      <c r="A3582">
        <f>MOD(3582-1,101)</f>
        <v>46</v>
      </c>
    </row>
    <row r="3583">
      <c r="A3583">
        <f>MOD(3583-1,101)</f>
        <v>47</v>
      </c>
    </row>
    <row r="3584">
      <c r="A3584">
        <f>MOD(3584-1,101)</f>
        <v>48</v>
      </c>
    </row>
    <row r="3585">
      <c r="A3585">
        <f>MOD(3585-1,101)</f>
        <v>49</v>
      </c>
    </row>
    <row r="3586">
      <c r="A3586">
        <f>MOD(3586-1,101)</f>
        <v>50</v>
      </c>
    </row>
    <row r="3587">
      <c r="A3587">
        <f>MOD(3587-1,101)</f>
        <v>51</v>
      </c>
    </row>
    <row r="3588">
      <c r="A3588">
        <f>MOD(3588-1,101)</f>
        <v>52</v>
      </c>
    </row>
    <row r="3589">
      <c r="A3589">
        <f>MOD(3589-1,101)</f>
        <v>53</v>
      </c>
    </row>
    <row r="3590">
      <c r="A3590">
        <f>MOD(3590-1,101)</f>
        <v>54</v>
      </c>
    </row>
    <row r="3591">
      <c r="A3591">
        <f>MOD(3591-1,101)</f>
        <v>55</v>
      </c>
    </row>
    <row r="3592">
      <c r="A3592">
        <f>MOD(3592-1,101)</f>
        <v>56</v>
      </c>
    </row>
    <row r="3593">
      <c r="A3593">
        <f>MOD(3593-1,101)</f>
        <v>57</v>
      </c>
    </row>
    <row r="3594">
      <c r="A3594">
        <f>MOD(3594-1,101)</f>
        <v>58</v>
      </c>
    </row>
    <row r="3595">
      <c r="A3595">
        <f>MOD(3595-1,101)</f>
        <v>59</v>
      </c>
    </row>
    <row r="3596">
      <c r="A3596">
        <f>MOD(3596-1,101)</f>
        <v>60</v>
      </c>
    </row>
    <row r="3597">
      <c r="A3597">
        <f>MOD(3597-1,101)</f>
        <v>61</v>
      </c>
    </row>
    <row r="3598">
      <c r="A3598">
        <f>MOD(3598-1,101)</f>
        <v>62</v>
      </c>
    </row>
    <row r="3599">
      <c r="A3599">
        <f>MOD(3599-1,101)</f>
        <v>63</v>
      </c>
    </row>
    <row r="3600">
      <c r="A3600">
        <f>MOD(3600-1,101)</f>
        <v>64</v>
      </c>
    </row>
    <row r="3601">
      <c r="A3601">
        <f>MOD(3601-1,101)</f>
        <v>65</v>
      </c>
    </row>
    <row r="3602">
      <c r="A3602">
        <f>MOD(3602-1,101)</f>
        <v>66</v>
      </c>
    </row>
    <row r="3603">
      <c r="A3603">
        <f>MOD(3603-1,101)</f>
        <v>67</v>
      </c>
    </row>
    <row r="3604">
      <c r="A3604">
        <f>MOD(3604-1,101)</f>
        <v>68</v>
      </c>
    </row>
    <row r="3605">
      <c r="A3605">
        <f>MOD(3605-1,101)</f>
        <v>69</v>
      </c>
    </row>
    <row r="3606">
      <c r="A3606">
        <f>MOD(3606-1,101)</f>
        <v>70</v>
      </c>
    </row>
    <row r="3607">
      <c r="A3607">
        <f>MOD(3607-1,101)</f>
        <v>71</v>
      </c>
    </row>
    <row r="3608">
      <c r="A3608">
        <f>MOD(3608-1,101)</f>
        <v>72</v>
      </c>
    </row>
    <row r="3609">
      <c r="A3609">
        <f>MOD(3609-1,101)</f>
        <v>73</v>
      </c>
    </row>
    <row r="3610">
      <c r="A3610">
        <f>MOD(3610-1,101)</f>
        <v>74</v>
      </c>
    </row>
    <row r="3611">
      <c r="A3611">
        <f>MOD(3611-1,101)</f>
        <v>75</v>
      </c>
    </row>
    <row r="3612">
      <c r="A3612">
        <f>MOD(3612-1,101)</f>
        <v>76</v>
      </c>
    </row>
    <row r="3613">
      <c r="A3613">
        <f>MOD(3613-1,101)</f>
        <v>77</v>
      </c>
    </row>
    <row r="3614">
      <c r="A3614">
        <f>MOD(3614-1,101)</f>
        <v>78</v>
      </c>
    </row>
    <row r="3615">
      <c r="A3615">
        <f>MOD(3615-1,101)</f>
        <v>79</v>
      </c>
    </row>
    <row r="3616">
      <c r="A3616">
        <f>MOD(3616-1,101)</f>
        <v>80</v>
      </c>
    </row>
    <row r="3617">
      <c r="A3617">
        <f>MOD(3617-1,101)</f>
        <v>81</v>
      </c>
    </row>
    <row r="3618">
      <c r="A3618">
        <f>MOD(3618-1,101)</f>
        <v>82</v>
      </c>
    </row>
    <row r="3619">
      <c r="A3619">
        <f>MOD(3619-1,101)</f>
        <v>83</v>
      </c>
    </row>
    <row r="3620">
      <c r="A3620">
        <f>MOD(3620-1,101)</f>
        <v>84</v>
      </c>
    </row>
    <row r="3621">
      <c r="A3621">
        <f>MOD(3621-1,101)</f>
        <v>85</v>
      </c>
    </row>
    <row r="3622">
      <c r="A3622">
        <f>MOD(3622-1,101)</f>
        <v>86</v>
      </c>
    </row>
    <row r="3623">
      <c r="A3623">
        <f>MOD(3623-1,101)</f>
        <v>87</v>
      </c>
    </row>
    <row r="3624">
      <c r="A3624">
        <f>MOD(3624-1,101)</f>
        <v>88</v>
      </c>
    </row>
    <row r="3625">
      <c r="A3625">
        <f>MOD(3625-1,101)</f>
        <v>89</v>
      </c>
    </row>
    <row r="3626">
      <c r="A3626">
        <f>MOD(3626-1,101)</f>
        <v>90</v>
      </c>
    </row>
    <row r="3627">
      <c r="A3627">
        <f>MOD(3627-1,101)</f>
        <v>91</v>
      </c>
    </row>
    <row r="3628">
      <c r="A3628">
        <f>MOD(3628-1,101)</f>
        <v>92</v>
      </c>
    </row>
    <row r="3629">
      <c r="A3629">
        <f>MOD(3629-1,101)</f>
        <v>93</v>
      </c>
    </row>
    <row r="3630">
      <c r="A3630">
        <f>MOD(3630-1,101)</f>
        <v>94</v>
      </c>
    </row>
    <row r="3631">
      <c r="A3631">
        <f>MOD(3631-1,101)</f>
        <v>95</v>
      </c>
    </row>
    <row r="3632">
      <c r="A3632">
        <f>MOD(3632-1,101)</f>
        <v>96</v>
      </c>
    </row>
    <row r="3633">
      <c r="A3633">
        <f>MOD(3633-1,101)</f>
        <v>97</v>
      </c>
    </row>
    <row r="3634">
      <c r="A3634">
        <f>MOD(3634-1,101)</f>
        <v>98</v>
      </c>
    </row>
    <row r="3635">
      <c r="A3635">
        <f>MOD(3635-1,101)</f>
        <v>99</v>
      </c>
    </row>
    <row r="3636">
      <c r="A3636">
        <f>MOD(3636-1,101)</f>
        <v>100</v>
      </c>
    </row>
    <row r="3637">
      <c r="A3637">
        <f>MOD(3637-1,101)</f>
        <v>0</v>
      </c>
    </row>
    <row r="3638">
      <c r="A3638">
        <f>MOD(3638-1,101)</f>
        <v>1</v>
      </c>
    </row>
    <row r="3639">
      <c r="A3639">
        <f>MOD(3639-1,101)</f>
        <v>2</v>
      </c>
    </row>
    <row r="3640">
      <c r="A3640">
        <f>MOD(3640-1,101)</f>
        <v>3</v>
      </c>
    </row>
    <row r="3641">
      <c r="A3641">
        <f>MOD(3641-1,101)</f>
        <v>4</v>
      </c>
    </row>
    <row r="3642">
      <c r="A3642">
        <f>MOD(3642-1,101)</f>
        <v>5</v>
      </c>
    </row>
    <row r="3643">
      <c r="A3643">
        <f>MOD(3643-1,101)</f>
        <v>6</v>
      </c>
    </row>
    <row r="3644">
      <c r="A3644">
        <f>MOD(3644-1,101)</f>
        <v>7</v>
      </c>
    </row>
    <row r="3645">
      <c r="A3645">
        <f>MOD(3645-1,101)</f>
        <v>8</v>
      </c>
    </row>
    <row r="3646">
      <c r="A3646">
        <f>MOD(3646-1,101)</f>
        <v>9</v>
      </c>
    </row>
    <row r="3647">
      <c r="A3647">
        <f>MOD(3647-1,101)</f>
        <v>10</v>
      </c>
    </row>
    <row r="3648">
      <c r="A3648">
        <f>MOD(3648-1,101)</f>
        <v>11</v>
      </c>
    </row>
    <row r="3649">
      <c r="A3649">
        <f>MOD(3649-1,101)</f>
        <v>12</v>
      </c>
    </row>
    <row r="3650">
      <c r="A3650">
        <f>MOD(3650-1,101)</f>
        <v>13</v>
      </c>
    </row>
    <row r="3651">
      <c r="A3651">
        <f>MOD(3651-1,101)</f>
        <v>14</v>
      </c>
    </row>
    <row r="3652">
      <c r="A3652">
        <f>MOD(3652-1,101)</f>
        <v>15</v>
      </c>
    </row>
    <row r="3653">
      <c r="A3653">
        <f>MOD(3653-1,101)</f>
        <v>16</v>
      </c>
    </row>
    <row r="3654">
      <c r="A3654">
        <f>MOD(3654-1,101)</f>
        <v>17</v>
      </c>
    </row>
    <row r="3655">
      <c r="A3655">
        <f>MOD(3655-1,101)</f>
        <v>18</v>
      </c>
    </row>
    <row r="3656">
      <c r="A3656">
        <f>MOD(3656-1,101)</f>
        <v>19</v>
      </c>
    </row>
    <row r="3657">
      <c r="A3657">
        <f>MOD(3657-1,101)</f>
        <v>20</v>
      </c>
    </row>
    <row r="3658">
      <c r="A3658">
        <f>MOD(3658-1,101)</f>
        <v>21</v>
      </c>
    </row>
    <row r="3659">
      <c r="A3659">
        <f>MOD(3659-1,101)</f>
        <v>22</v>
      </c>
    </row>
    <row r="3660">
      <c r="A3660">
        <f>MOD(3660-1,101)</f>
        <v>23</v>
      </c>
    </row>
    <row r="3661">
      <c r="A3661">
        <f>MOD(3661-1,101)</f>
        <v>24</v>
      </c>
    </row>
    <row r="3662">
      <c r="A3662">
        <f>MOD(3662-1,101)</f>
        <v>25</v>
      </c>
    </row>
    <row r="3663">
      <c r="A3663">
        <f>MOD(3663-1,101)</f>
        <v>26</v>
      </c>
    </row>
    <row r="3664">
      <c r="A3664">
        <f>MOD(3664-1,101)</f>
        <v>27</v>
      </c>
    </row>
    <row r="3665">
      <c r="A3665">
        <f>MOD(3665-1,101)</f>
        <v>28</v>
      </c>
    </row>
    <row r="3666">
      <c r="A3666">
        <f>MOD(3666-1,101)</f>
        <v>29</v>
      </c>
    </row>
    <row r="3667">
      <c r="A3667">
        <f>MOD(3667-1,101)</f>
        <v>30</v>
      </c>
    </row>
    <row r="3668">
      <c r="A3668">
        <f>MOD(3668-1,101)</f>
        <v>31</v>
      </c>
    </row>
    <row r="3669">
      <c r="A3669">
        <f>MOD(3669-1,101)</f>
        <v>32</v>
      </c>
    </row>
    <row r="3670">
      <c r="A3670">
        <f>MOD(3670-1,101)</f>
        <v>33</v>
      </c>
    </row>
    <row r="3671">
      <c r="A3671">
        <f>MOD(3671-1,101)</f>
        <v>34</v>
      </c>
    </row>
    <row r="3672">
      <c r="A3672">
        <f>MOD(3672-1,101)</f>
        <v>35</v>
      </c>
    </row>
    <row r="3673">
      <c r="A3673">
        <f>MOD(3673-1,101)</f>
        <v>36</v>
      </c>
    </row>
    <row r="3674">
      <c r="A3674">
        <f>MOD(3674-1,101)</f>
        <v>37</v>
      </c>
    </row>
    <row r="3675">
      <c r="A3675">
        <f>MOD(3675-1,101)</f>
        <v>38</v>
      </c>
    </row>
    <row r="3676">
      <c r="A3676">
        <f>MOD(3676-1,101)</f>
        <v>39</v>
      </c>
    </row>
    <row r="3677">
      <c r="A3677">
        <f>MOD(3677-1,101)</f>
        <v>40</v>
      </c>
    </row>
    <row r="3678">
      <c r="A3678">
        <f>MOD(3678-1,101)</f>
        <v>41</v>
      </c>
    </row>
    <row r="3679">
      <c r="A3679">
        <f>MOD(3679-1,101)</f>
        <v>42</v>
      </c>
    </row>
    <row r="3680">
      <c r="A3680">
        <f>MOD(3680-1,101)</f>
        <v>43</v>
      </c>
    </row>
    <row r="3681">
      <c r="A3681">
        <f>MOD(3681-1,101)</f>
        <v>44</v>
      </c>
    </row>
    <row r="3682">
      <c r="A3682">
        <f>MOD(3682-1,101)</f>
        <v>45</v>
      </c>
    </row>
    <row r="3683">
      <c r="A3683">
        <f>MOD(3683-1,101)</f>
        <v>46</v>
      </c>
    </row>
    <row r="3684">
      <c r="A3684">
        <f>MOD(3684-1,101)</f>
        <v>47</v>
      </c>
    </row>
    <row r="3685">
      <c r="A3685">
        <f>MOD(3685-1,101)</f>
        <v>48</v>
      </c>
    </row>
    <row r="3686">
      <c r="A3686">
        <f>MOD(3686-1,101)</f>
        <v>49</v>
      </c>
    </row>
    <row r="3687">
      <c r="A3687">
        <f>MOD(3687-1,101)</f>
        <v>50</v>
      </c>
    </row>
    <row r="3688">
      <c r="A3688">
        <f>MOD(3688-1,101)</f>
        <v>51</v>
      </c>
    </row>
    <row r="3689">
      <c r="A3689">
        <f>MOD(3689-1,101)</f>
        <v>52</v>
      </c>
    </row>
    <row r="3690">
      <c r="A3690">
        <f>MOD(3690-1,101)</f>
        <v>53</v>
      </c>
    </row>
    <row r="3691">
      <c r="A3691">
        <f>MOD(3691-1,101)</f>
        <v>54</v>
      </c>
    </row>
    <row r="3692">
      <c r="A3692">
        <f>MOD(3692-1,101)</f>
        <v>55</v>
      </c>
    </row>
    <row r="3693">
      <c r="A3693">
        <f>MOD(3693-1,101)</f>
        <v>56</v>
      </c>
    </row>
    <row r="3694">
      <c r="A3694">
        <f>MOD(3694-1,101)</f>
        <v>57</v>
      </c>
    </row>
    <row r="3695">
      <c r="A3695">
        <f>MOD(3695-1,101)</f>
        <v>58</v>
      </c>
    </row>
    <row r="3696">
      <c r="A3696">
        <f>MOD(3696-1,101)</f>
        <v>59</v>
      </c>
    </row>
    <row r="3697">
      <c r="A3697">
        <f>MOD(3697-1,101)</f>
        <v>60</v>
      </c>
    </row>
    <row r="3698">
      <c r="A3698">
        <f>MOD(3698-1,101)</f>
        <v>61</v>
      </c>
    </row>
    <row r="3699">
      <c r="A3699">
        <f>MOD(3699-1,101)</f>
        <v>62</v>
      </c>
    </row>
    <row r="3700">
      <c r="A3700">
        <f>MOD(3700-1,101)</f>
        <v>63</v>
      </c>
    </row>
    <row r="3701">
      <c r="A3701">
        <f>MOD(3701-1,101)</f>
        <v>64</v>
      </c>
    </row>
    <row r="3702">
      <c r="A3702">
        <f>MOD(3702-1,101)</f>
        <v>65</v>
      </c>
    </row>
    <row r="3703">
      <c r="A3703">
        <f>MOD(3703-1,101)</f>
        <v>66</v>
      </c>
    </row>
    <row r="3704">
      <c r="A3704">
        <f>MOD(3704-1,101)</f>
        <v>67</v>
      </c>
    </row>
    <row r="3705">
      <c r="A3705">
        <f>MOD(3705-1,101)</f>
        <v>68</v>
      </c>
    </row>
    <row r="3706">
      <c r="A3706">
        <f>MOD(3706-1,101)</f>
        <v>69</v>
      </c>
    </row>
    <row r="3707">
      <c r="A3707">
        <f>MOD(3707-1,101)</f>
        <v>70</v>
      </c>
    </row>
    <row r="3708">
      <c r="A3708">
        <f>MOD(3708-1,101)</f>
        <v>71</v>
      </c>
    </row>
    <row r="3709">
      <c r="A3709">
        <f>MOD(3709-1,101)</f>
        <v>72</v>
      </c>
    </row>
    <row r="3710">
      <c r="A3710">
        <f>MOD(3710-1,101)</f>
        <v>73</v>
      </c>
    </row>
    <row r="3711">
      <c r="A3711">
        <f>MOD(3711-1,101)</f>
        <v>74</v>
      </c>
    </row>
    <row r="3712">
      <c r="A3712">
        <f>MOD(3712-1,101)</f>
        <v>75</v>
      </c>
    </row>
    <row r="3713">
      <c r="A3713">
        <f>MOD(3713-1,101)</f>
        <v>76</v>
      </c>
    </row>
    <row r="3714">
      <c r="A3714">
        <f>MOD(3714-1,101)</f>
        <v>77</v>
      </c>
    </row>
    <row r="3715">
      <c r="A3715">
        <f>MOD(3715-1,101)</f>
        <v>78</v>
      </c>
    </row>
    <row r="3716">
      <c r="A3716">
        <f>MOD(3716-1,101)</f>
        <v>79</v>
      </c>
    </row>
    <row r="3717">
      <c r="A3717">
        <f>MOD(3717-1,101)</f>
        <v>80</v>
      </c>
    </row>
    <row r="3718">
      <c r="A3718">
        <f>MOD(3718-1,101)</f>
        <v>81</v>
      </c>
    </row>
    <row r="3719">
      <c r="A3719">
        <f>MOD(3719-1,101)</f>
        <v>82</v>
      </c>
    </row>
    <row r="3720">
      <c r="A3720">
        <f>MOD(3720-1,101)</f>
        <v>83</v>
      </c>
    </row>
    <row r="3721">
      <c r="A3721">
        <f>MOD(3721-1,101)</f>
        <v>84</v>
      </c>
    </row>
    <row r="3722">
      <c r="A3722">
        <f>MOD(3722-1,101)</f>
        <v>85</v>
      </c>
    </row>
    <row r="3723">
      <c r="A3723">
        <f>MOD(3723-1,101)</f>
        <v>86</v>
      </c>
    </row>
    <row r="3724">
      <c r="A3724">
        <f>MOD(3724-1,101)</f>
        <v>87</v>
      </c>
    </row>
    <row r="3725">
      <c r="A3725">
        <f>MOD(3725-1,101)</f>
        <v>88</v>
      </c>
    </row>
    <row r="3726">
      <c r="A3726">
        <f>MOD(3726-1,101)</f>
        <v>89</v>
      </c>
    </row>
    <row r="3727">
      <c r="A3727">
        <f>MOD(3727-1,101)</f>
        <v>90</v>
      </c>
    </row>
    <row r="3728">
      <c r="A3728">
        <f>MOD(3728-1,101)</f>
        <v>91</v>
      </c>
    </row>
    <row r="3729">
      <c r="A3729">
        <f>MOD(3729-1,101)</f>
        <v>92</v>
      </c>
    </row>
    <row r="3730">
      <c r="A3730">
        <f>MOD(3730-1,101)</f>
        <v>93</v>
      </c>
    </row>
    <row r="3731">
      <c r="A3731">
        <f>MOD(3731-1,101)</f>
        <v>94</v>
      </c>
    </row>
    <row r="3732">
      <c r="A3732">
        <f>MOD(3732-1,101)</f>
        <v>95</v>
      </c>
    </row>
    <row r="3733">
      <c r="A3733">
        <f>MOD(3733-1,101)</f>
        <v>96</v>
      </c>
    </row>
    <row r="3734">
      <c r="A3734">
        <f>MOD(3734-1,101)</f>
        <v>97</v>
      </c>
    </row>
    <row r="3735">
      <c r="A3735">
        <f>MOD(3735-1,101)</f>
        <v>98</v>
      </c>
    </row>
    <row r="3736">
      <c r="A3736">
        <f>MOD(3736-1,101)</f>
        <v>99</v>
      </c>
    </row>
    <row r="3737">
      <c r="A3737">
        <f>MOD(3737-1,101)</f>
        <v>100</v>
      </c>
    </row>
    <row r="3738">
      <c r="A3738">
        <f>MOD(3738-1,101)</f>
        <v>0</v>
      </c>
    </row>
    <row r="3739">
      <c r="A3739">
        <f>MOD(3739-1,101)</f>
        <v>1</v>
      </c>
    </row>
    <row r="3740">
      <c r="A3740">
        <f>MOD(3740-1,101)</f>
        <v>2</v>
      </c>
    </row>
    <row r="3741">
      <c r="A3741">
        <f>MOD(3741-1,101)</f>
        <v>3</v>
      </c>
    </row>
    <row r="3742">
      <c r="A3742">
        <f>MOD(3742-1,101)</f>
        <v>4</v>
      </c>
    </row>
    <row r="3743">
      <c r="A3743">
        <f>MOD(3743-1,101)</f>
        <v>5</v>
      </c>
    </row>
    <row r="3744">
      <c r="A3744">
        <f>MOD(3744-1,101)</f>
        <v>6</v>
      </c>
    </row>
    <row r="3745">
      <c r="A3745">
        <f>MOD(3745-1,101)</f>
        <v>7</v>
      </c>
    </row>
    <row r="3746">
      <c r="A3746">
        <f>MOD(3746-1,101)</f>
        <v>8</v>
      </c>
    </row>
    <row r="3747">
      <c r="A3747">
        <f>MOD(3747-1,101)</f>
        <v>9</v>
      </c>
    </row>
    <row r="3748">
      <c r="A3748">
        <f>MOD(3748-1,101)</f>
        <v>10</v>
      </c>
    </row>
    <row r="3749">
      <c r="A3749">
        <f>MOD(3749-1,101)</f>
        <v>11</v>
      </c>
    </row>
    <row r="3750">
      <c r="A3750">
        <f>MOD(3750-1,101)</f>
        <v>12</v>
      </c>
    </row>
    <row r="3751">
      <c r="A3751">
        <f>MOD(3751-1,101)</f>
        <v>13</v>
      </c>
    </row>
    <row r="3752">
      <c r="A3752">
        <f>MOD(3752-1,101)</f>
        <v>14</v>
      </c>
    </row>
    <row r="3753">
      <c r="A3753">
        <f>MOD(3753-1,101)</f>
        <v>15</v>
      </c>
    </row>
    <row r="3754">
      <c r="A3754">
        <f>MOD(3754-1,101)</f>
        <v>16</v>
      </c>
    </row>
    <row r="3755">
      <c r="A3755">
        <f>MOD(3755-1,101)</f>
        <v>17</v>
      </c>
    </row>
    <row r="3756">
      <c r="A3756">
        <f>MOD(3756-1,101)</f>
        <v>18</v>
      </c>
    </row>
    <row r="3757">
      <c r="A3757">
        <f>MOD(3757-1,101)</f>
        <v>19</v>
      </c>
    </row>
    <row r="3758">
      <c r="A3758">
        <f>MOD(3758-1,101)</f>
        <v>20</v>
      </c>
    </row>
    <row r="3759">
      <c r="A3759">
        <f>MOD(3759-1,101)</f>
        <v>21</v>
      </c>
    </row>
    <row r="3760">
      <c r="A3760">
        <f>MOD(3760-1,101)</f>
        <v>22</v>
      </c>
    </row>
    <row r="3761">
      <c r="A3761">
        <f>MOD(3761-1,101)</f>
        <v>23</v>
      </c>
    </row>
    <row r="3762">
      <c r="A3762">
        <f>MOD(3762-1,101)</f>
        <v>24</v>
      </c>
    </row>
    <row r="3763">
      <c r="A3763">
        <f>MOD(3763-1,101)</f>
        <v>25</v>
      </c>
    </row>
    <row r="3764">
      <c r="A3764">
        <f>MOD(3764-1,101)</f>
        <v>26</v>
      </c>
    </row>
    <row r="3765">
      <c r="A3765">
        <f>MOD(3765-1,101)</f>
        <v>27</v>
      </c>
    </row>
    <row r="3766">
      <c r="A3766">
        <f>MOD(3766-1,101)</f>
        <v>28</v>
      </c>
    </row>
    <row r="3767">
      <c r="A3767">
        <f>MOD(3767-1,101)</f>
        <v>29</v>
      </c>
    </row>
    <row r="3768">
      <c r="A3768">
        <f>MOD(3768-1,101)</f>
        <v>30</v>
      </c>
    </row>
    <row r="3769">
      <c r="A3769">
        <f>MOD(3769-1,101)</f>
        <v>31</v>
      </c>
    </row>
    <row r="3770">
      <c r="A3770">
        <f>MOD(3770-1,101)</f>
        <v>32</v>
      </c>
    </row>
    <row r="3771">
      <c r="A3771">
        <f>MOD(3771-1,101)</f>
        <v>33</v>
      </c>
    </row>
    <row r="3772">
      <c r="A3772">
        <f>MOD(3772-1,101)</f>
        <v>34</v>
      </c>
    </row>
    <row r="3773">
      <c r="A3773">
        <f>MOD(3773-1,101)</f>
        <v>35</v>
      </c>
    </row>
    <row r="3774">
      <c r="A3774">
        <f>MOD(3774-1,101)</f>
        <v>36</v>
      </c>
    </row>
    <row r="3775">
      <c r="A3775">
        <f>MOD(3775-1,101)</f>
        <v>37</v>
      </c>
    </row>
    <row r="3776">
      <c r="A3776">
        <f>MOD(3776-1,101)</f>
        <v>38</v>
      </c>
    </row>
    <row r="3777">
      <c r="A3777">
        <f>MOD(3777-1,101)</f>
        <v>39</v>
      </c>
    </row>
    <row r="3778">
      <c r="A3778">
        <f>MOD(3778-1,101)</f>
        <v>40</v>
      </c>
    </row>
    <row r="3779">
      <c r="A3779">
        <f>MOD(3779-1,101)</f>
        <v>41</v>
      </c>
    </row>
    <row r="3780">
      <c r="A3780">
        <f>MOD(3780-1,101)</f>
        <v>42</v>
      </c>
    </row>
    <row r="3781">
      <c r="A3781">
        <f>MOD(3781-1,101)</f>
        <v>43</v>
      </c>
    </row>
    <row r="3782">
      <c r="A3782">
        <f>MOD(3782-1,101)</f>
        <v>44</v>
      </c>
    </row>
    <row r="3783">
      <c r="A3783">
        <f>MOD(3783-1,101)</f>
        <v>45</v>
      </c>
    </row>
    <row r="3784">
      <c r="A3784">
        <f>MOD(3784-1,101)</f>
        <v>46</v>
      </c>
    </row>
    <row r="3785">
      <c r="A3785">
        <f>MOD(3785-1,101)</f>
        <v>47</v>
      </c>
    </row>
    <row r="3786">
      <c r="A3786">
        <f>MOD(3786-1,101)</f>
        <v>48</v>
      </c>
    </row>
    <row r="3787">
      <c r="A3787">
        <f>MOD(3787-1,101)</f>
        <v>49</v>
      </c>
    </row>
    <row r="3788">
      <c r="A3788">
        <f>MOD(3788-1,101)</f>
        <v>50</v>
      </c>
    </row>
    <row r="3789">
      <c r="A3789">
        <f>MOD(3789-1,101)</f>
        <v>51</v>
      </c>
    </row>
    <row r="3790">
      <c r="A3790">
        <f>MOD(3790-1,101)</f>
        <v>52</v>
      </c>
    </row>
    <row r="3791">
      <c r="A3791">
        <f>MOD(3791-1,101)</f>
        <v>53</v>
      </c>
    </row>
    <row r="3792">
      <c r="A3792">
        <f>MOD(3792-1,101)</f>
        <v>54</v>
      </c>
    </row>
    <row r="3793">
      <c r="A3793">
        <f>MOD(3793-1,101)</f>
        <v>55</v>
      </c>
    </row>
    <row r="3794">
      <c r="A3794">
        <f>MOD(3794-1,101)</f>
        <v>56</v>
      </c>
    </row>
    <row r="3795">
      <c r="A3795">
        <f>MOD(3795-1,101)</f>
        <v>57</v>
      </c>
    </row>
    <row r="3796">
      <c r="A3796">
        <f>MOD(3796-1,101)</f>
        <v>58</v>
      </c>
    </row>
    <row r="3797">
      <c r="A3797">
        <f>MOD(3797-1,101)</f>
        <v>59</v>
      </c>
    </row>
    <row r="3798">
      <c r="A3798">
        <f>MOD(3798-1,101)</f>
        <v>60</v>
      </c>
    </row>
    <row r="3799">
      <c r="A3799">
        <f>MOD(3799-1,101)</f>
        <v>61</v>
      </c>
    </row>
    <row r="3800">
      <c r="A3800">
        <f>MOD(3800-1,101)</f>
        <v>62</v>
      </c>
    </row>
    <row r="3801">
      <c r="A3801">
        <f>MOD(3801-1,101)</f>
        <v>63</v>
      </c>
    </row>
    <row r="3802">
      <c r="A3802">
        <f>MOD(3802-1,101)</f>
        <v>64</v>
      </c>
    </row>
    <row r="3803">
      <c r="A3803">
        <f>MOD(3803-1,101)</f>
        <v>65</v>
      </c>
    </row>
    <row r="3804">
      <c r="A3804">
        <f>MOD(3804-1,101)</f>
        <v>66</v>
      </c>
    </row>
    <row r="3805">
      <c r="A3805">
        <f>MOD(3805-1,101)</f>
        <v>67</v>
      </c>
    </row>
    <row r="3806">
      <c r="A3806">
        <f>MOD(3806-1,101)</f>
        <v>68</v>
      </c>
    </row>
    <row r="3807">
      <c r="A3807">
        <f>MOD(3807-1,101)</f>
        <v>69</v>
      </c>
    </row>
    <row r="3808">
      <c r="A3808">
        <f>MOD(3808-1,101)</f>
        <v>70</v>
      </c>
    </row>
    <row r="3809">
      <c r="A3809">
        <f>MOD(3809-1,101)</f>
        <v>71</v>
      </c>
    </row>
    <row r="3810">
      <c r="A3810">
        <f>MOD(3810-1,101)</f>
        <v>72</v>
      </c>
    </row>
    <row r="3811">
      <c r="A3811">
        <f>MOD(3811-1,101)</f>
        <v>73</v>
      </c>
    </row>
    <row r="3812">
      <c r="A3812">
        <f>MOD(3812-1,101)</f>
        <v>74</v>
      </c>
    </row>
    <row r="3813">
      <c r="A3813">
        <f>MOD(3813-1,101)</f>
        <v>75</v>
      </c>
    </row>
    <row r="3814">
      <c r="A3814">
        <f>MOD(3814-1,101)</f>
        <v>76</v>
      </c>
    </row>
    <row r="3815">
      <c r="A3815">
        <f>MOD(3815-1,101)</f>
        <v>77</v>
      </c>
    </row>
    <row r="3816">
      <c r="A3816">
        <f>MOD(3816-1,101)</f>
        <v>78</v>
      </c>
    </row>
    <row r="3817">
      <c r="A3817">
        <f>MOD(3817-1,101)</f>
        <v>79</v>
      </c>
    </row>
    <row r="3818">
      <c r="A3818">
        <f>MOD(3818-1,101)</f>
        <v>80</v>
      </c>
    </row>
    <row r="3819">
      <c r="A3819">
        <f>MOD(3819-1,101)</f>
        <v>81</v>
      </c>
    </row>
    <row r="3820">
      <c r="A3820">
        <f>MOD(3820-1,101)</f>
        <v>82</v>
      </c>
    </row>
    <row r="3821">
      <c r="A3821">
        <f>MOD(3821-1,101)</f>
        <v>83</v>
      </c>
    </row>
    <row r="3822">
      <c r="A3822">
        <f>MOD(3822-1,101)</f>
        <v>84</v>
      </c>
    </row>
    <row r="3823">
      <c r="A3823">
        <f>MOD(3823-1,101)</f>
        <v>85</v>
      </c>
    </row>
    <row r="3824">
      <c r="A3824">
        <f>MOD(3824-1,101)</f>
        <v>86</v>
      </c>
    </row>
    <row r="3825">
      <c r="A3825">
        <f>MOD(3825-1,101)</f>
        <v>87</v>
      </c>
    </row>
    <row r="3826">
      <c r="A3826">
        <f>MOD(3826-1,101)</f>
        <v>88</v>
      </c>
    </row>
    <row r="3827">
      <c r="A3827">
        <f>MOD(3827-1,101)</f>
        <v>89</v>
      </c>
    </row>
    <row r="3828">
      <c r="A3828">
        <f>MOD(3828-1,101)</f>
        <v>90</v>
      </c>
    </row>
    <row r="3829">
      <c r="A3829">
        <f>MOD(3829-1,101)</f>
        <v>91</v>
      </c>
    </row>
    <row r="3830">
      <c r="A3830">
        <f>MOD(3830-1,101)</f>
        <v>92</v>
      </c>
    </row>
    <row r="3831">
      <c r="A3831">
        <f>MOD(3831-1,101)</f>
        <v>93</v>
      </c>
    </row>
    <row r="3832">
      <c r="A3832">
        <f>MOD(3832-1,101)</f>
        <v>94</v>
      </c>
    </row>
    <row r="3833">
      <c r="A3833">
        <f>MOD(3833-1,101)</f>
        <v>95</v>
      </c>
    </row>
    <row r="3834">
      <c r="A3834">
        <f>MOD(3834-1,101)</f>
        <v>96</v>
      </c>
    </row>
    <row r="3835">
      <c r="A3835">
        <f>MOD(3835-1,101)</f>
        <v>97</v>
      </c>
    </row>
    <row r="3836">
      <c r="A3836">
        <f>MOD(3836-1,101)</f>
        <v>98</v>
      </c>
    </row>
    <row r="3837">
      <c r="A3837">
        <f>MOD(3837-1,101)</f>
        <v>99</v>
      </c>
    </row>
    <row r="3838">
      <c r="A3838">
        <f>MOD(3838-1,101)</f>
        <v>100</v>
      </c>
    </row>
    <row r="3839">
      <c r="A3839">
        <f>MOD(3839-1,101)</f>
        <v>0</v>
      </c>
    </row>
    <row r="3840">
      <c r="A3840">
        <f>MOD(3840-1,101)</f>
        <v>1</v>
      </c>
    </row>
    <row r="3841">
      <c r="A3841">
        <f>MOD(3841-1,101)</f>
        <v>2</v>
      </c>
    </row>
    <row r="3842">
      <c r="A3842">
        <f>MOD(3842-1,101)</f>
        <v>3</v>
      </c>
    </row>
    <row r="3843">
      <c r="A3843">
        <f>MOD(3843-1,101)</f>
        <v>4</v>
      </c>
    </row>
    <row r="3844">
      <c r="A3844">
        <f>MOD(3844-1,101)</f>
        <v>5</v>
      </c>
    </row>
    <row r="3845">
      <c r="A3845">
        <f>MOD(3845-1,101)</f>
        <v>6</v>
      </c>
    </row>
    <row r="3846">
      <c r="A3846">
        <f>MOD(3846-1,101)</f>
        <v>7</v>
      </c>
    </row>
    <row r="3847">
      <c r="A3847">
        <f>MOD(3847-1,101)</f>
        <v>8</v>
      </c>
    </row>
    <row r="3848">
      <c r="A3848">
        <f>MOD(3848-1,101)</f>
        <v>9</v>
      </c>
    </row>
    <row r="3849">
      <c r="A3849">
        <f>MOD(3849-1,101)</f>
        <v>10</v>
      </c>
    </row>
    <row r="3850">
      <c r="A3850">
        <f>MOD(3850-1,101)</f>
        <v>11</v>
      </c>
    </row>
    <row r="3851">
      <c r="A3851">
        <f>MOD(3851-1,101)</f>
        <v>12</v>
      </c>
    </row>
    <row r="3852">
      <c r="A3852">
        <f>MOD(3852-1,101)</f>
        <v>13</v>
      </c>
    </row>
    <row r="3853">
      <c r="A3853">
        <f>MOD(3853-1,101)</f>
        <v>14</v>
      </c>
    </row>
    <row r="3854">
      <c r="A3854">
        <f>MOD(3854-1,101)</f>
        <v>15</v>
      </c>
    </row>
    <row r="3855">
      <c r="A3855">
        <f>MOD(3855-1,101)</f>
        <v>16</v>
      </c>
    </row>
    <row r="3856">
      <c r="A3856">
        <f>MOD(3856-1,101)</f>
        <v>17</v>
      </c>
    </row>
    <row r="3857">
      <c r="A3857">
        <f>MOD(3857-1,101)</f>
        <v>18</v>
      </c>
    </row>
    <row r="3858">
      <c r="A3858">
        <f>MOD(3858-1,101)</f>
        <v>19</v>
      </c>
    </row>
    <row r="3859">
      <c r="A3859">
        <f>MOD(3859-1,101)</f>
        <v>20</v>
      </c>
    </row>
    <row r="3860">
      <c r="A3860">
        <f>MOD(3860-1,101)</f>
        <v>21</v>
      </c>
    </row>
    <row r="3861">
      <c r="A3861">
        <f>MOD(3861-1,101)</f>
        <v>22</v>
      </c>
    </row>
    <row r="3862">
      <c r="A3862">
        <f>MOD(3862-1,101)</f>
        <v>23</v>
      </c>
    </row>
    <row r="3863">
      <c r="A3863">
        <f>MOD(3863-1,101)</f>
        <v>24</v>
      </c>
    </row>
    <row r="3864">
      <c r="A3864">
        <f>MOD(3864-1,101)</f>
        <v>25</v>
      </c>
    </row>
    <row r="3865">
      <c r="A3865">
        <f>MOD(3865-1,101)</f>
        <v>26</v>
      </c>
    </row>
    <row r="3866">
      <c r="A3866">
        <f>MOD(3866-1,101)</f>
        <v>27</v>
      </c>
    </row>
    <row r="3867">
      <c r="A3867">
        <f>MOD(3867-1,101)</f>
        <v>28</v>
      </c>
    </row>
    <row r="3868">
      <c r="A3868">
        <f>MOD(3868-1,101)</f>
        <v>29</v>
      </c>
    </row>
    <row r="3869">
      <c r="A3869">
        <f>MOD(3869-1,101)</f>
        <v>30</v>
      </c>
    </row>
    <row r="3870">
      <c r="A3870">
        <f>MOD(3870-1,101)</f>
        <v>31</v>
      </c>
    </row>
    <row r="3871">
      <c r="A3871">
        <f>MOD(3871-1,101)</f>
        <v>32</v>
      </c>
    </row>
    <row r="3872">
      <c r="A3872">
        <f>MOD(3872-1,101)</f>
        <v>33</v>
      </c>
    </row>
    <row r="3873">
      <c r="A3873">
        <f>MOD(3873-1,101)</f>
        <v>34</v>
      </c>
    </row>
    <row r="3874">
      <c r="A3874">
        <f>MOD(3874-1,101)</f>
        <v>35</v>
      </c>
    </row>
    <row r="3875">
      <c r="A3875">
        <f>MOD(3875-1,101)</f>
        <v>36</v>
      </c>
    </row>
    <row r="3876">
      <c r="A3876">
        <f>MOD(3876-1,101)</f>
        <v>37</v>
      </c>
    </row>
    <row r="3877">
      <c r="A3877">
        <f>MOD(3877-1,101)</f>
        <v>38</v>
      </c>
    </row>
    <row r="3878">
      <c r="A3878">
        <f>MOD(3878-1,101)</f>
        <v>39</v>
      </c>
    </row>
    <row r="3879">
      <c r="A3879">
        <f>MOD(3879-1,101)</f>
        <v>40</v>
      </c>
    </row>
    <row r="3880">
      <c r="A3880">
        <f>MOD(3880-1,101)</f>
        <v>41</v>
      </c>
    </row>
    <row r="3881">
      <c r="A3881">
        <f>MOD(3881-1,101)</f>
        <v>42</v>
      </c>
    </row>
    <row r="3882">
      <c r="A3882">
        <f>MOD(3882-1,101)</f>
        <v>43</v>
      </c>
    </row>
    <row r="3883">
      <c r="A3883">
        <f>MOD(3883-1,101)</f>
        <v>44</v>
      </c>
    </row>
    <row r="3884">
      <c r="A3884">
        <f>MOD(3884-1,101)</f>
        <v>45</v>
      </c>
    </row>
    <row r="3885">
      <c r="A3885">
        <f>MOD(3885-1,101)</f>
        <v>46</v>
      </c>
    </row>
    <row r="3886">
      <c r="A3886">
        <f>MOD(3886-1,101)</f>
        <v>47</v>
      </c>
    </row>
    <row r="3887">
      <c r="A3887">
        <f>MOD(3887-1,101)</f>
        <v>48</v>
      </c>
    </row>
    <row r="3888">
      <c r="A3888">
        <f>MOD(3888-1,101)</f>
        <v>49</v>
      </c>
    </row>
    <row r="3889">
      <c r="A3889">
        <f>MOD(3889-1,101)</f>
        <v>50</v>
      </c>
    </row>
    <row r="3890">
      <c r="A3890">
        <f>MOD(3890-1,101)</f>
        <v>51</v>
      </c>
    </row>
    <row r="3891">
      <c r="A3891">
        <f>MOD(3891-1,101)</f>
        <v>52</v>
      </c>
    </row>
    <row r="3892">
      <c r="A3892">
        <f>MOD(3892-1,101)</f>
        <v>53</v>
      </c>
    </row>
    <row r="3893">
      <c r="A3893">
        <f>MOD(3893-1,101)</f>
        <v>54</v>
      </c>
    </row>
    <row r="3894">
      <c r="A3894">
        <f>MOD(3894-1,101)</f>
        <v>55</v>
      </c>
    </row>
    <row r="3895">
      <c r="A3895">
        <f>MOD(3895-1,101)</f>
        <v>56</v>
      </c>
    </row>
    <row r="3896">
      <c r="A3896">
        <f>MOD(3896-1,101)</f>
        <v>57</v>
      </c>
    </row>
    <row r="3897">
      <c r="A3897">
        <f>MOD(3897-1,101)</f>
        <v>58</v>
      </c>
    </row>
    <row r="3898">
      <c r="A3898">
        <f>MOD(3898-1,101)</f>
        <v>59</v>
      </c>
    </row>
    <row r="3899">
      <c r="A3899">
        <f>MOD(3899-1,101)</f>
        <v>60</v>
      </c>
    </row>
    <row r="3900">
      <c r="A3900">
        <f>MOD(3900-1,101)</f>
        <v>61</v>
      </c>
    </row>
    <row r="3901">
      <c r="A3901">
        <f>MOD(3901-1,101)</f>
        <v>62</v>
      </c>
    </row>
    <row r="3902">
      <c r="A3902">
        <f>MOD(3902-1,101)</f>
        <v>63</v>
      </c>
    </row>
    <row r="3903">
      <c r="A3903">
        <f>MOD(3903-1,101)</f>
        <v>64</v>
      </c>
    </row>
    <row r="3904">
      <c r="A3904">
        <f>MOD(3904-1,101)</f>
        <v>65</v>
      </c>
    </row>
    <row r="3905">
      <c r="A3905">
        <f>MOD(3905-1,101)</f>
        <v>66</v>
      </c>
    </row>
    <row r="3906">
      <c r="A3906">
        <f>MOD(3906-1,101)</f>
        <v>67</v>
      </c>
    </row>
    <row r="3907">
      <c r="A3907">
        <f>MOD(3907-1,101)</f>
        <v>68</v>
      </c>
    </row>
    <row r="3908">
      <c r="A3908">
        <f>MOD(3908-1,101)</f>
        <v>69</v>
      </c>
    </row>
    <row r="3909">
      <c r="A3909">
        <f>MOD(3909-1,101)</f>
        <v>70</v>
      </c>
    </row>
    <row r="3910">
      <c r="A3910">
        <f>MOD(3910-1,101)</f>
        <v>71</v>
      </c>
    </row>
    <row r="3911">
      <c r="A3911">
        <f>MOD(3911-1,101)</f>
        <v>72</v>
      </c>
    </row>
    <row r="3912">
      <c r="A3912">
        <f>MOD(3912-1,101)</f>
        <v>73</v>
      </c>
    </row>
    <row r="3913">
      <c r="A3913">
        <f>MOD(3913-1,101)</f>
        <v>74</v>
      </c>
    </row>
    <row r="3914">
      <c r="A3914">
        <f>MOD(3914-1,101)</f>
        <v>75</v>
      </c>
    </row>
    <row r="3915">
      <c r="A3915">
        <f>MOD(3915-1,101)</f>
        <v>76</v>
      </c>
    </row>
    <row r="3916">
      <c r="A3916">
        <f>MOD(3916-1,101)</f>
        <v>77</v>
      </c>
    </row>
    <row r="3917">
      <c r="A3917">
        <f>MOD(3917-1,101)</f>
        <v>78</v>
      </c>
    </row>
    <row r="3918">
      <c r="A3918">
        <f>MOD(3918-1,101)</f>
        <v>79</v>
      </c>
    </row>
    <row r="3919">
      <c r="A3919">
        <f>MOD(3919-1,101)</f>
        <v>80</v>
      </c>
    </row>
    <row r="3920">
      <c r="A3920">
        <f>MOD(3920-1,101)</f>
        <v>81</v>
      </c>
    </row>
    <row r="3921">
      <c r="A3921">
        <f>MOD(3921-1,101)</f>
        <v>82</v>
      </c>
    </row>
    <row r="3922">
      <c r="A3922">
        <f>MOD(3922-1,101)</f>
        <v>83</v>
      </c>
    </row>
    <row r="3923">
      <c r="A3923">
        <f>MOD(3923-1,101)</f>
        <v>84</v>
      </c>
    </row>
    <row r="3924">
      <c r="A3924">
        <f>MOD(3924-1,101)</f>
        <v>85</v>
      </c>
    </row>
    <row r="3925">
      <c r="A3925">
        <f>MOD(3925-1,101)</f>
        <v>86</v>
      </c>
    </row>
    <row r="3926">
      <c r="A3926">
        <f>MOD(3926-1,101)</f>
        <v>87</v>
      </c>
    </row>
    <row r="3927">
      <c r="A3927">
        <f>MOD(3927-1,101)</f>
        <v>88</v>
      </c>
    </row>
    <row r="3928">
      <c r="A3928">
        <f>MOD(3928-1,101)</f>
        <v>89</v>
      </c>
    </row>
    <row r="3929">
      <c r="A3929">
        <f>MOD(3929-1,101)</f>
        <v>90</v>
      </c>
    </row>
    <row r="3930">
      <c r="A3930">
        <f>MOD(3930-1,101)</f>
        <v>91</v>
      </c>
    </row>
    <row r="3931">
      <c r="A3931">
        <f>MOD(3931-1,101)</f>
        <v>92</v>
      </c>
    </row>
    <row r="3932">
      <c r="A3932">
        <f>MOD(3932-1,101)</f>
        <v>93</v>
      </c>
    </row>
    <row r="3933">
      <c r="A3933">
        <f>MOD(3933-1,101)</f>
        <v>94</v>
      </c>
    </row>
    <row r="3934">
      <c r="A3934">
        <f>MOD(3934-1,101)</f>
        <v>95</v>
      </c>
    </row>
    <row r="3935">
      <c r="A3935">
        <f>MOD(3935-1,101)</f>
        <v>96</v>
      </c>
    </row>
    <row r="3936">
      <c r="A3936">
        <f>MOD(3936-1,101)</f>
        <v>97</v>
      </c>
    </row>
    <row r="3937">
      <c r="A3937">
        <f>MOD(3937-1,101)</f>
        <v>98</v>
      </c>
    </row>
    <row r="3938">
      <c r="A3938">
        <f>MOD(3938-1,101)</f>
        <v>99</v>
      </c>
    </row>
    <row r="3939">
      <c r="A3939">
        <f>MOD(3939-1,101)</f>
        <v>100</v>
      </c>
    </row>
    <row r="3940">
      <c r="A3940">
        <f>MOD(3940-1,101)</f>
        <v>0</v>
      </c>
    </row>
    <row r="3941">
      <c r="A3941">
        <f>MOD(3941-1,101)</f>
        <v>1</v>
      </c>
    </row>
    <row r="3942">
      <c r="A3942">
        <f>MOD(3942-1,101)</f>
        <v>2</v>
      </c>
    </row>
    <row r="3943">
      <c r="A3943">
        <f>MOD(3943-1,101)</f>
        <v>3</v>
      </c>
    </row>
    <row r="3944">
      <c r="A3944">
        <f>MOD(3944-1,101)</f>
        <v>4</v>
      </c>
    </row>
    <row r="3945">
      <c r="A3945">
        <f>MOD(3945-1,101)</f>
        <v>5</v>
      </c>
    </row>
    <row r="3946">
      <c r="A3946">
        <f>MOD(3946-1,101)</f>
        <v>6</v>
      </c>
    </row>
    <row r="3947">
      <c r="A3947">
        <f>MOD(3947-1,101)</f>
        <v>7</v>
      </c>
    </row>
    <row r="3948">
      <c r="A3948">
        <f>MOD(3948-1,101)</f>
        <v>8</v>
      </c>
    </row>
    <row r="3949">
      <c r="A3949">
        <f>MOD(3949-1,101)</f>
        <v>9</v>
      </c>
    </row>
    <row r="3950">
      <c r="A3950">
        <f>MOD(3950-1,101)</f>
        <v>10</v>
      </c>
    </row>
    <row r="3951">
      <c r="A3951">
        <f>MOD(3951-1,101)</f>
        <v>11</v>
      </c>
    </row>
    <row r="3952">
      <c r="A3952">
        <f>MOD(3952-1,101)</f>
        <v>12</v>
      </c>
    </row>
    <row r="3953">
      <c r="A3953">
        <f>MOD(3953-1,101)</f>
        <v>13</v>
      </c>
    </row>
    <row r="3954">
      <c r="A3954">
        <f>MOD(3954-1,101)</f>
        <v>14</v>
      </c>
    </row>
    <row r="3955">
      <c r="A3955">
        <f>MOD(3955-1,101)</f>
        <v>15</v>
      </c>
    </row>
    <row r="3956">
      <c r="A3956">
        <f>MOD(3956-1,101)</f>
        <v>16</v>
      </c>
    </row>
    <row r="3957">
      <c r="A3957">
        <f>MOD(3957-1,101)</f>
        <v>17</v>
      </c>
    </row>
    <row r="3958">
      <c r="A3958">
        <f>MOD(3958-1,101)</f>
        <v>18</v>
      </c>
    </row>
    <row r="3959">
      <c r="A3959">
        <f>MOD(3959-1,101)</f>
        <v>19</v>
      </c>
    </row>
    <row r="3960">
      <c r="A3960">
        <f>MOD(3960-1,101)</f>
        <v>20</v>
      </c>
    </row>
    <row r="3961">
      <c r="A3961">
        <f>MOD(3961-1,101)</f>
        <v>21</v>
      </c>
    </row>
    <row r="3962">
      <c r="A3962">
        <f>MOD(3962-1,101)</f>
        <v>22</v>
      </c>
    </row>
    <row r="3963">
      <c r="A3963">
        <f>MOD(3963-1,101)</f>
        <v>23</v>
      </c>
    </row>
    <row r="3964">
      <c r="A3964">
        <f>MOD(3964-1,101)</f>
        <v>24</v>
      </c>
    </row>
    <row r="3965">
      <c r="A3965">
        <f>MOD(3965-1,101)</f>
        <v>25</v>
      </c>
    </row>
    <row r="3966">
      <c r="A3966">
        <f>MOD(3966-1,101)</f>
        <v>26</v>
      </c>
    </row>
    <row r="3967">
      <c r="A3967">
        <f>MOD(3967-1,101)</f>
        <v>27</v>
      </c>
    </row>
    <row r="3968">
      <c r="A3968">
        <f>MOD(3968-1,101)</f>
        <v>28</v>
      </c>
    </row>
    <row r="3969">
      <c r="A3969">
        <f>MOD(3969-1,101)</f>
        <v>29</v>
      </c>
    </row>
    <row r="3970">
      <c r="A3970">
        <f>MOD(3970-1,101)</f>
        <v>30</v>
      </c>
    </row>
    <row r="3971">
      <c r="A3971">
        <f>MOD(3971-1,101)</f>
        <v>31</v>
      </c>
    </row>
    <row r="3972">
      <c r="A3972">
        <f>MOD(3972-1,101)</f>
        <v>32</v>
      </c>
    </row>
    <row r="3973">
      <c r="A3973">
        <f>MOD(3973-1,101)</f>
        <v>33</v>
      </c>
    </row>
    <row r="3974">
      <c r="A3974">
        <f>MOD(3974-1,101)</f>
        <v>34</v>
      </c>
    </row>
    <row r="3975">
      <c r="A3975">
        <f>MOD(3975-1,101)</f>
        <v>35</v>
      </c>
    </row>
    <row r="3976">
      <c r="A3976">
        <f>MOD(3976-1,101)</f>
        <v>36</v>
      </c>
    </row>
    <row r="3977">
      <c r="A3977">
        <f>MOD(3977-1,101)</f>
        <v>37</v>
      </c>
    </row>
    <row r="3978">
      <c r="A3978">
        <f>MOD(3978-1,101)</f>
        <v>38</v>
      </c>
    </row>
    <row r="3979">
      <c r="A3979">
        <f>MOD(3979-1,101)</f>
        <v>39</v>
      </c>
    </row>
    <row r="3980">
      <c r="A3980">
        <f>MOD(3980-1,101)</f>
        <v>40</v>
      </c>
    </row>
    <row r="3981">
      <c r="A3981">
        <f>MOD(3981-1,101)</f>
        <v>41</v>
      </c>
    </row>
    <row r="3982">
      <c r="A3982">
        <f>MOD(3982-1,101)</f>
        <v>42</v>
      </c>
    </row>
    <row r="3983">
      <c r="A3983">
        <f>MOD(3983-1,101)</f>
        <v>43</v>
      </c>
    </row>
    <row r="3984">
      <c r="A3984">
        <f>MOD(3984-1,101)</f>
        <v>44</v>
      </c>
    </row>
    <row r="3985">
      <c r="A3985">
        <f>MOD(3985-1,101)</f>
        <v>45</v>
      </c>
    </row>
    <row r="3986">
      <c r="A3986">
        <f>MOD(3986-1,101)</f>
        <v>46</v>
      </c>
    </row>
    <row r="3987">
      <c r="A3987">
        <f>MOD(3987-1,101)</f>
        <v>47</v>
      </c>
    </row>
    <row r="3988">
      <c r="A3988">
        <f>MOD(3988-1,101)</f>
        <v>48</v>
      </c>
    </row>
    <row r="3989">
      <c r="A3989">
        <f>MOD(3989-1,101)</f>
        <v>49</v>
      </c>
    </row>
    <row r="3990">
      <c r="A3990">
        <f>MOD(3990-1,101)</f>
        <v>50</v>
      </c>
    </row>
    <row r="3991">
      <c r="A3991">
        <f>MOD(3991-1,101)</f>
        <v>51</v>
      </c>
    </row>
    <row r="3992">
      <c r="A3992">
        <f>MOD(3992-1,101)</f>
        <v>52</v>
      </c>
    </row>
    <row r="3993">
      <c r="A3993">
        <f>MOD(3993-1,101)</f>
        <v>53</v>
      </c>
    </row>
    <row r="3994">
      <c r="A3994">
        <f>MOD(3994-1,101)</f>
        <v>54</v>
      </c>
    </row>
    <row r="3995">
      <c r="A3995">
        <f>MOD(3995-1,101)</f>
        <v>55</v>
      </c>
    </row>
    <row r="3996">
      <c r="A3996">
        <f>MOD(3996-1,101)</f>
        <v>56</v>
      </c>
    </row>
    <row r="3997">
      <c r="A3997">
        <f>MOD(3997-1,101)</f>
        <v>57</v>
      </c>
    </row>
    <row r="3998">
      <c r="A3998">
        <f>MOD(3998-1,101)</f>
        <v>58</v>
      </c>
    </row>
    <row r="3999">
      <c r="A3999">
        <f>MOD(3999-1,101)</f>
        <v>59</v>
      </c>
    </row>
    <row r="4000">
      <c r="A4000">
        <f>MOD(4000-1,101)</f>
        <v>60</v>
      </c>
    </row>
    <row r="4001">
      <c r="A4001">
        <f>MOD(4001-1,101)</f>
        <v>61</v>
      </c>
    </row>
    <row r="4002">
      <c r="A4002">
        <f>MOD(4002-1,101)</f>
        <v>62</v>
      </c>
    </row>
    <row r="4003">
      <c r="A4003">
        <f>MOD(4003-1,101)</f>
        <v>63</v>
      </c>
    </row>
    <row r="4004">
      <c r="A4004">
        <f>MOD(4004-1,101)</f>
        <v>64</v>
      </c>
    </row>
    <row r="4005">
      <c r="A4005">
        <f>MOD(4005-1,101)</f>
        <v>65</v>
      </c>
    </row>
    <row r="4006">
      <c r="A4006">
        <f>MOD(4006-1,101)</f>
        <v>66</v>
      </c>
    </row>
    <row r="4007">
      <c r="A4007">
        <f>MOD(4007-1,101)</f>
        <v>67</v>
      </c>
    </row>
    <row r="4008">
      <c r="A4008">
        <f>MOD(4008-1,101)</f>
        <v>68</v>
      </c>
    </row>
    <row r="4009">
      <c r="A4009">
        <f>MOD(4009-1,101)</f>
        <v>69</v>
      </c>
    </row>
    <row r="4010">
      <c r="A4010">
        <f>MOD(4010-1,101)</f>
        <v>70</v>
      </c>
    </row>
    <row r="4011">
      <c r="A4011">
        <f>MOD(4011-1,101)</f>
        <v>71</v>
      </c>
    </row>
    <row r="4012">
      <c r="A4012">
        <f>MOD(4012-1,101)</f>
        <v>72</v>
      </c>
    </row>
    <row r="4013">
      <c r="A4013">
        <f>MOD(4013-1,101)</f>
        <v>73</v>
      </c>
    </row>
    <row r="4014">
      <c r="A4014">
        <f>MOD(4014-1,101)</f>
        <v>74</v>
      </c>
    </row>
    <row r="4015">
      <c r="A4015">
        <f>MOD(4015-1,101)</f>
        <v>75</v>
      </c>
    </row>
    <row r="4016">
      <c r="A4016">
        <f>MOD(4016-1,101)</f>
        <v>76</v>
      </c>
    </row>
    <row r="4017">
      <c r="A4017">
        <f>MOD(4017-1,101)</f>
        <v>77</v>
      </c>
    </row>
    <row r="4018">
      <c r="A4018">
        <f>MOD(4018-1,101)</f>
        <v>78</v>
      </c>
    </row>
    <row r="4019">
      <c r="A4019">
        <f>MOD(4019-1,101)</f>
        <v>79</v>
      </c>
    </row>
    <row r="4020">
      <c r="A4020">
        <f>MOD(4020-1,101)</f>
        <v>80</v>
      </c>
    </row>
    <row r="4021">
      <c r="A4021">
        <f>MOD(4021-1,101)</f>
        <v>81</v>
      </c>
    </row>
    <row r="4022">
      <c r="A4022">
        <f>MOD(4022-1,101)</f>
        <v>82</v>
      </c>
    </row>
    <row r="4023">
      <c r="A4023">
        <f>MOD(4023-1,101)</f>
        <v>83</v>
      </c>
    </row>
    <row r="4024">
      <c r="A4024">
        <f>MOD(4024-1,101)</f>
        <v>84</v>
      </c>
    </row>
    <row r="4025">
      <c r="A4025">
        <f>MOD(4025-1,101)</f>
        <v>85</v>
      </c>
    </row>
    <row r="4026">
      <c r="A4026">
        <f>MOD(4026-1,101)</f>
        <v>86</v>
      </c>
    </row>
    <row r="4027">
      <c r="A4027">
        <f>MOD(4027-1,101)</f>
        <v>87</v>
      </c>
    </row>
    <row r="4028">
      <c r="A4028">
        <f>MOD(4028-1,101)</f>
        <v>88</v>
      </c>
    </row>
    <row r="4029">
      <c r="A4029">
        <f>MOD(4029-1,101)</f>
        <v>89</v>
      </c>
    </row>
    <row r="4030">
      <c r="A4030">
        <f>MOD(4030-1,101)</f>
        <v>90</v>
      </c>
    </row>
    <row r="4031">
      <c r="A4031">
        <f>MOD(4031-1,101)</f>
        <v>91</v>
      </c>
    </row>
    <row r="4032">
      <c r="A4032">
        <f>MOD(4032-1,101)</f>
        <v>92</v>
      </c>
    </row>
    <row r="4033">
      <c r="A4033">
        <f>MOD(4033-1,101)</f>
        <v>93</v>
      </c>
    </row>
    <row r="4034">
      <c r="A4034">
        <f>MOD(4034-1,101)</f>
        <v>94</v>
      </c>
    </row>
    <row r="4035">
      <c r="A4035">
        <f>MOD(4035-1,101)</f>
        <v>95</v>
      </c>
    </row>
    <row r="4036">
      <c r="A4036">
        <f>MOD(4036-1,101)</f>
        <v>96</v>
      </c>
    </row>
    <row r="4037">
      <c r="A4037">
        <f>MOD(4037-1,101)</f>
        <v>97</v>
      </c>
    </row>
    <row r="4038">
      <c r="A4038">
        <f>MOD(4038-1,101)</f>
        <v>98</v>
      </c>
    </row>
    <row r="4039">
      <c r="A4039">
        <f>MOD(4039-1,101)</f>
        <v>99</v>
      </c>
    </row>
    <row r="4040">
      <c r="A4040">
        <f>MOD(4040-1,101)</f>
        <v>100</v>
      </c>
    </row>
    <row r="4041">
      <c r="A4041">
        <f>MOD(4041-1,101)</f>
        <v>0</v>
      </c>
    </row>
    <row r="4042">
      <c r="A4042">
        <f>MOD(4042-1,101)</f>
        <v>1</v>
      </c>
    </row>
    <row r="4043">
      <c r="A4043">
        <f>MOD(4043-1,101)</f>
        <v>2</v>
      </c>
    </row>
    <row r="4044">
      <c r="A4044">
        <f>MOD(4044-1,101)</f>
        <v>3</v>
      </c>
    </row>
    <row r="4045">
      <c r="A4045">
        <f>MOD(4045-1,101)</f>
        <v>4</v>
      </c>
    </row>
    <row r="4046">
      <c r="A4046">
        <f>MOD(4046-1,101)</f>
        <v>5</v>
      </c>
    </row>
    <row r="4047">
      <c r="A4047">
        <f>MOD(4047-1,101)</f>
        <v>6</v>
      </c>
    </row>
    <row r="4048">
      <c r="A4048">
        <f>MOD(4048-1,101)</f>
        <v>7</v>
      </c>
    </row>
    <row r="4049">
      <c r="A4049">
        <f>MOD(4049-1,101)</f>
        <v>8</v>
      </c>
    </row>
    <row r="4050">
      <c r="A4050">
        <f>MOD(4050-1,101)</f>
        <v>9</v>
      </c>
    </row>
    <row r="4051">
      <c r="A4051">
        <f>MOD(4051-1,101)</f>
        <v>10</v>
      </c>
    </row>
    <row r="4052">
      <c r="A4052">
        <f>MOD(4052-1,101)</f>
        <v>11</v>
      </c>
    </row>
    <row r="4053">
      <c r="A4053">
        <f>MOD(4053-1,101)</f>
        <v>12</v>
      </c>
    </row>
    <row r="4054">
      <c r="A4054">
        <f>MOD(4054-1,101)</f>
        <v>13</v>
      </c>
    </row>
    <row r="4055">
      <c r="A4055">
        <f>MOD(4055-1,101)</f>
        <v>14</v>
      </c>
    </row>
    <row r="4056">
      <c r="A4056">
        <f>MOD(4056-1,101)</f>
        <v>15</v>
      </c>
    </row>
    <row r="4057">
      <c r="A4057">
        <f>MOD(4057-1,101)</f>
        <v>16</v>
      </c>
    </row>
    <row r="4058">
      <c r="A4058">
        <f>MOD(4058-1,101)</f>
        <v>17</v>
      </c>
    </row>
    <row r="4059">
      <c r="A4059">
        <f>MOD(4059-1,101)</f>
        <v>18</v>
      </c>
    </row>
    <row r="4060">
      <c r="A4060">
        <f>MOD(4060-1,101)</f>
        <v>19</v>
      </c>
    </row>
    <row r="4061">
      <c r="A4061">
        <f>MOD(4061-1,101)</f>
        <v>20</v>
      </c>
    </row>
    <row r="4062">
      <c r="A4062">
        <f>MOD(4062-1,101)</f>
        <v>21</v>
      </c>
    </row>
    <row r="4063">
      <c r="A4063">
        <f>MOD(4063-1,101)</f>
        <v>22</v>
      </c>
    </row>
    <row r="4064">
      <c r="A4064">
        <f>MOD(4064-1,101)</f>
        <v>23</v>
      </c>
    </row>
    <row r="4065">
      <c r="A4065">
        <f>MOD(4065-1,101)</f>
        <v>24</v>
      </c>
    </row>
    <row r="4066">
      <c r="A4066">
        <f>MOD(4066-1,101)</f>
        <v>25</v>
      </c>
    </row>
    <row r="4067">
      <c r="A4067">
        <f>MOD(4067-1,101)</f>
        <v>26</v>
      </c>
    </row>
    <row r="4068">
      <c r="A4068">
        <f>MOD(4068-1,101)</f>
        <v>27</v>
      </c>
    </row>
    <row r="4069">
      <c r="A4069">
        <f>MOD(4069-1,101)</f>
        <v>28</v>
      </c>
    </row>
    <row r="4070">
      <c r="A4070">
        <f>MOD(4070-1,101)</f>
        <v>29</v>
      </c>
    </row>
    <row r="4071">
      <c r="A4071">
        <f>MOD(4071-1,101)</f>
        <v>30</v>
      </c>
    </row>
    <row r="4072">
      <c r="A4072">
        <f>MOD(4072-1,101)</f>
        <v>31</v>
      </c>
    </row>
    <row r="4073">
      <c r="A4073">
        <f>MOD(4073-1,101)</f>
        <v>32</v>
      </c>
    </row>
    <row r="4074">
      <c r="A4074">
        <f>MOD(4074-1,101)</f>
        <v>33</v>
      </c>
    </row>
    <row r="4075">
      <c r="A4075">
        <f>MOD(4075-1,101)</f>
        <v>34</v>
      </c>
    </row>
    <row r="4076">
      <c r="A4076">
        <f>MOD(4076-1,101)</f>
        <v>35</v>
      </c>
    </row>
    <row r="4077">
      <c r="A4077">
        <f>MOD(4077-1,101)</f>
        <v>36</v>
      </c>
    </row>
    <row r="4078">
      <c r="A4078">
        <f>MOD(4078-1,101)</f>
        <v>37</v>
      </c>
    </row>
    <row r="4079">
      <c r="A4079">
        <f>MOD(4079-1,101)</f>
        <v>38</v>
      </c>
    </row>
    <row r="4080">
      <c r="A4080">
        <f>MOD(4080-1,101)</f>
        <v>39</v>
      </c>
    </row>
    <row r="4081">
      <c r="A4081">
        <f>MOD(4081-1,101)</f>
        <v>40</v>
      </c>
    </row>
    <row r="4082">
      <c r="A4082">
        <f>MOD(4082-1,101)</f>
        <v>41</v>
      </c>
    </row>
    <row r="4083">
      <c r="A4083">
        <f>MOD(4083-1,101)</f>
        <v>42</v>
      </c>
    </row>
    <row r="4084">
      <c r="A4084">
        <f>MOD(4084-1,101)</f>
        <v>43</v>
      </c>
    </row>
    <row r="4085">
      <c r="A4085">
        <f>MOD(4085-1,101)</f>
        <v>44</v>
      </c>
    </row>
    <row r="4086">
      <c r="A4086">
        <f>MOD(4086-1,101)</f>
        <v>45</v>
      </c>
    </row>
    <row r="4087">
      <c r="A4087">
        <f>MOD(4087-1,101)</f>
        <v>46</v>
      </c>
    </row>
    <row r="4088">
      <c r="A4088">
        <f>MOD(4088-1,101)</f>
        <v>47</v>
      </c>
    </row>
    <row r="4089">
      <c r="A4089">
        <f>MOD(4089-1,101)</f>
        <v>48</v>
      </c>
    </row>
    <row r="4090">
      <c r="A4090">
        <f>MOD(4090-1,101)</f>
        <v>49</v>
      </c>
    </row>
    <row r="4091">
      <c r="A4091">
        <f>MOD(4091-1,101)</f>
        <v>50</v>
      </c>
    </row>
    <row r="4092">
      <c r="A4092">
        <f>MOD(4092-1,101)</f>
        <v>51</v>
      </c>
    </row>
    <row r="4093">
      <c r="A4093">
        <f>MOD(4093-1,101)</f>
        <v>52</v>
      </c>
    </row>
    <row r="4094">
      <c r="A4094">
        <f>MOD(4094-1,101)</f>
        <v>53</v>
      </c>
    </row>
    <row r="4095">
      <c r="A4095">
        <f>MOD(4095-1,101)</f>
        <v>54</v>
      </c>
    </row>
    <row r="4096">
      <c r="A4096">
        <f>MOD(4096-1,101)</f>
        <v>55</v>
      </c>
    </row>
    <row r="4097">
      <c r="A4097">
        <f>MOD(4097-1,101)</f>
        <v>56</v>
      </c>
    </row>
    <row r="4098">
      <c r="A4098">
        <f>MOD(4098-1,101)</f>
        <v>57</v>
      </c>
    </row>
    <row r="4099">
      <c r="A4099">
        <f>MOD(4099-1,101)</f>
        <v>58</v>
      </c>
    </row>
    <row r="4100">
      <c r="A4100">
        <f>MOD(4100-1,101)</f>
        <v>59</v>
      </c>
    </row>
    <row r="4101">
      <c r="A4101">
        <f>MOD(4101-1,101)</f>
        <v>60</v>
      </c>
    </row>
    <row r="4102">
      <c r="A4102">
        <f>MOD(4102-1,101)</f>
        <v>61</v>
      </c>
    </row>
    <row r="4103">
      <c r="A4103">
        <f>MOD(4103-1,101)</f>
        <v>62</v>
      </c>
    </row>
    <row r="4104">
      <c r="A4104">
        <f>MOD(4104-1,101)</f>
        <v>63</v>
      </c>
    </row>
    <row r="4105">
      <c r="A4105">
        <f>MOD(4105-1,101)</f>
        <v>64</v>
      </c>
    </row>
    <row r="4106">
      <c r="A4106">
        <f>MOD(4106-1,101)</f>
        <v>65</v>
      </c>
    </row>
    <row r="4107">
      <c r="A4107">
        <f>MOD(4107-1,101)</f>
        <v>66</v>
      </c>
    </row>
    <row r="4108">
      <c r="A4108">
        <f>MOD(4108-1,101)</f>
        <v>67</v>
      </c>
    </row>
    <row r="4109">
      <c r="A4109">
        <f>MOD(4109-1,101)</f>
        <v>68</v>
      </c>
    </row>
    <row r="4110">
      <c r="A4110">
        <f>MOD(4110-1,101)</f>
        <v>69</v>
      </c>
    </row>
    <row r="4111">
      <c r="A4111">
        <f>MOD(4111-1,101)</f>
        <v>70</v>
      </c>
    </row>
    <row r="4112">
      <c r="A4112">
        <f>MOD(4112-1,101)</f>
        <v>71</v>
      </c>
    </row>
    <row r="4113">
      <c r="A4113">
        <f>MOD(4113-1,101)</f>
        <v>72</v>
      </c>
    </row>
    <row r="4114">
      <c r="A4114">
        <f>MOD(4114-1,101)</f>
        <v>73</v>
      </c>
    </row>
    <row r="4115">
      <c r="A4115">
        <f>MOD(4115-1,101)</f>
        <v>74</v>
      </c>
    </row>
    <row r="4116">
      <c r="A4116">
        <f>MOD(4116-1,101)</f>
        <v>75</v>
      </c>
    </row>
    <row r="4117">
      <c r="A4117">
        <f>MOD(4117-1,101)</f>
        <v>76</v>
      </c>
    </row>
    <row r="4118">
      <c r="A4118">
        <f>MOD(4118-1,101)</f>
        <v>77</v>
      </c>
    </row>
    <row r="4119">
      <c r="A4119">
        <f>MOD(4119-1,101)</f>
        <v>78</v>
      </c>
    </row>
    <row r="4120">
      <c r="A4120">
        <f>MOD(4120-1,101)</f>
        <v>79</v>
      </c>
    </row>
    <row r="4121">
      <c r="A4121">
        <f>MOD(4121-1,101)</f>
        <v>80</v>
      </c>
    </row>
    <row r="4122">
      <c r="A4122">
        <f>MOD(4122-1,101)</f>
        <v>81</v>
      </c>
    </row>
    <row r="4123">
      <c r="A4123">
        <f>MOD(4123-1,101)</f>
        <v>82</v>
      </c>
    </row>
    <row r="4124">
      <c r="A4124">
        <f>MOD(4124-1,101)</f>
        <v>83</v>
      </c>
    </row>
    <row r="4125">
      <c r="A4125">
        <f>MOD(4125-1,101)</f>
        <v>84</v>
      </c>
    </row>
    <row r="4126">
      <c r="A4126">
        <f>MOD(4126-1,101)</f>
        <v>85</v>
      </c>
    </row>
    <row r="4127">
      <c r="A4127">
        <f>MOD(4127-1,101)</f>
        <v>86</v>
      </c>
    </row>
    <row r="4128">
      <c r="A4128">
        <f>MOD(4128-1,101)</f>
        <v>87</v>
      </c>
    </row>
    <row r="4129">
      <c r="A4129">
        <f>MOD(4129-1,101)</f>
        <v>88</v>
      </c>
    </row>
    <row r="4130">
      <c r="A4130">
        <f>MOD(4130-1,101)</f>
        <v>89</v>
      </c>
    </row>
    <row r="4131">
      <c r="A4131">
        <f>MOD(4131-1,101)</f>
        <v>90</v>
      </c>
    </row>
    <row r="4132">
      <c r="A4132">
        <f>MOD(4132-1,101)</f>
        <v>91</v>
      </c>
    </row>
    <row r="4133">
      <c r="A4133">
        <f>MOD(4133-1,101)</f>
        <v>92</v>
      </c>
    </row>
    <row r="4134">
      <c r="A4134">
        <f>MOD(4134-1,101)</f>
        <v>93</v>
      </c>
    </row>
    <row r="4135">
      <c r="A4135">
        <f>MOD(4135-1,101)</f>
        <v>94</v>
      </c>
    </row>
    <row r="4136">
      <c r="A4136">
        <f>MOD(4136-1,101)</f>
        <v>95</v>
      </c>
    </row>
    <row r="4137">
      <c r="A4137">
        <f>MOD(4137-1,101)</f>
        <v>96</v>
      </c>
    </row>
    <row r="4138">
      <c r="A4138">
        <f>MOD(4138-1,101)</f>
        <v>97</v>
      </c>
    </row>
    <row r="4139">
      <c r="A4139">
        <f>MOD(4139-1,101)</f>
        <v>98</v>
      </c>
    </row>
    <row r="4140">
      <c r="A4140">
        <f>MOD(4140-1,101)</f>
        <v>99</v>
      </c>
    </row>
    <row r="4141">
      <c r="A4141">
        <f>MOD(4141-1,101)</f>
        <v>100</v>
      </c>
    </row>
    <row r="4142">
      <c r="A4142">
        <f>MOD(4142-1,101)</f>
        <v>0</v>
      </c>
    </row>
    <row r="4143">
      <c r="A4143">
        <f>MOD(4143-1,101)</f>
        <v>1</v>
      </c>
    </row>
    <row r="4144">
      <c r="A4144">
        <f>MOD(4144-1,101)</f>
        <v>2</v>
      </c>
    </row>
    <row r="4145">
      <c r="A4145">
        <f>MOD(4145-1,101)</f>
        <v>3</v>
      </c>
    </row>
    <row r="4146">
      <c r="A4146">
        <f>MOD(4146-1,101)</f>
        <v>4</v>
      </c>
    </row>
    <row r="4147">
      <c r="A4147">
        <f>MOD(4147-1,101)</f>
        <v>5</v>
      </c>
    </row>
    <row r="4148">
      <c r="A4148">
        <f>MOD(4148-1,101)</f>
        <v>6</v>
      </c>
    </row>
    <row r="4149">
      <c r="A4149">
        <f>MOD(4149-1,101)</f>
        <v>7</v>
      </c>
    </row>
    <row r="4150">
      <c r="A4150">
        <f>MOD(4150-1,101)</f>
        <v>8</v>
      </c>
    </row>
    <row r="4151">
      <c r="A4151">
        <f>MOD(4151-1,101)</f>
        <v>9</v>
      </c>
    </row>
    <row r="4152">
      <c r="A4152">
        <f>MOD(4152-1,101)</f>
        <v>10</v>
      </c>
    </row>
    <row r="4153">
      <c r="A4153">
        <f>MOD(4153-1,101)</f>
        <v>11</v>
      </c>
    </row>
    <row r="4154">
      <c r="A4154">
        <f>MOD(4154-1,101)</f>
        <v>12</v>
      </c>
    </row>
    <row r="4155">
      <c r="A4155">
        <f>MOD(4155-1,101)</f>
        <v>13</v>
      </c>
    </row>
    <row r="4156">
      <c r="A4156">
        <f>MOD(4156-1,101)</f>
        <v>14</v>
      </c>
    </row>
    <row r="4157">
      <c r="A4157">
        <f>MOD(4157-1,101)</f>
        <v>15</v>
      </c>
    </row>
    <row r="4158">
      <c r="A4158">
        <f>MOD(4158-1,101)</f>
        <v>16</v>
      </c>
    </row>
    <row r="4159">
      <c r="A4159">
        <f>MOD(4159-1,101)</f>
        <v>17</v>
      </c>
    </row>
    <row r="4160">
      <c r="A4160">
        <f>MOD(4160-1,101)</f>
        <v>18</v>
      </c>
    </row>
    <row r="4161">
      <c r="A4161">
        <f>MOD(4161-1,101)</f>
        <v>19</v>
      </c>
    </row>
    <row r="4162">
      <c r="A4162">
        <f>MOD(4162-1,101)</f>
        <v>20</v>
      </c>
    </row>
    <row r="4163">
      <c r="A4163">
        <f>MOD(4163-1,101)</f>
        <v>21</v>
      </c>
    </row>
    <row r="4164">
      <c r="A4164">
        <f>MOD(4164-1,101)</f>
        <v>22</v>
      </c>
    </row>
    <row r="4165">
      <c r="A4165">
        <f>MOD(4165-1,101)</f>
        <v>23</v>
      </c>
    </row>
    <row r="4166">
      <c r="A4166">
        <f>MOD(4166-1,101)</f>
        <v>24</v>
      </c>
    </row>
    <row r="4167">
      <c r="A4167">
        <f>MOD(4167-1,101)</f>
        <v>25</v>
      </c>
    </row>
    <row r="4168">
      <c r="A4168">
        <f>MOD(4168-1,101)</f>
        <v>26</v>
      </c>
    </row>
    <row r="4169">
      <c r="A4169">
        <f>MOD(4169-1,101)</f>
        <v>27</v>
      </c>
    </row>
    <row r="4170">
      <c r="A4170">
        <f>MOD(4170-1,101)</f>
        <v>28</v>
      </c>
    </row>
    <row r="4171">
      <c r="A4171">
        <f>MOD(4171-1,101)</f>
        <v>29</v>
      </c>
    </row>
    <row r="4172">
      <c r="A4172">
        <f>MOD(4172-1,101)</f>
        <v>30</v>
      </c>
    </row>
    <row r="4173">
      <c r="A4173">
        <f>MOD(4173-1,101)</f>
        <v>31</v>
      </c>
    </row>
    <row r="4174">
      <c r="A4174">
        <f>MOD(4174-1,101)</f>
        <v>32</v>
      </c>
    </row>
    <row r="4175">
      <c r="A4175">
        <f>MOD(4175-1,101)</f>
        <v>33</v>
      </c>
    </row>
    <row r="4176">
      <c r="A4176">
        <f>MOD(4176-1,101)</f>
        <v>34</v>
      </c>
    </row>
    <row r="4177">
      <c r="A4177">
        <f>MOD(4177-1,101)</f>
        <v>35</v>
      </c>
    </row>
    <row r="4178">
      <c r="A4178">
        <f>MOD(4178-1,101)</f>
        <v>36</v>
      </c>
    </row>
    <row r="4179">
      <c r="A4179">
        <f>MOD(4179-1,101)</f>
        <v>37</v>
      </c>
    </row>
    <row r="4180">
      <c r="A4180">
        <f>MOD(4180-1,101)</f>
        <v>38</v>
      </c>
    </row>
    <row r="4181">
      <c r="A4181">
        <f>MOD(4181-1,101)</f>
        <v>39</v>
      </c>
    </row>
    <row r="4182">
      <c r="A4182">
        <f>MOD(4182-1,101)</f>
        <v>40</v>
      </c>
    </row>
    <row r="4183">
      <c r="A4183">
        <f>MOD(4183-1,101)</f>
        <v>41</v>
      </c>
    </row>
    <row r="4184">
      <c r="A4184">
        <f>MOD(4184-1,101)</f>
        <v>42</v>
      </c>
    </row>
    <row r="4185">
      <c r="A4185">
        <f>MOD(4185-1,101)</f>
        <v>43</v>
      </c>
    </row>
    <row r="4186">
      <c r="A4186">
        <f>MOD(4186-1,101)</f>
        <v>44</v>
      </c>
    </row>
    <row r="4187">
      <c r="A4187">
        <f>MOD(4187-1,101)</f>
        <v>45</v>
      </c>
    </row>
    <row r="4188">
      <c r="A4188">
        <f>MOD(4188-1,101)</f>
        <v>46</v>
      </c>
    </row>
    <row r="4189">
      <c r="A4189">
        <f>MOD(4189-1,101)</f>
        <v>47</v>
      </c>
    </row>
    <row r="4190">
      <c r="A4190">
        <f>MOD(4190-1,101)</f>
        <v>48</v>
      </c>
    </row>
    <row r="4191">
      <c r="A4191">
        <f>MOD(4191-1,101)</f>
        <v>49</v>
      </c>
    </row>
    <row r="4192">
      <c r="A4192">
        <f>MOD(4192-1,101)</f>
        <v>50</v>
      </c>
    </row>
    <row r="4193">
      <c r="A4193">
        <f>MOD(4193-1,101)</f>
        <v>51</v>
      </c>
    </row>
    <row r="4194">
      <c r="A4194">
        <f>MOD(4194-1,101)</f>
        <v>52</v>
      </c>
    </row>
    <row r="4195">
      <c r="A4195">
        <f>MOD(4195-1,101)</f>
        <v>53</v>
      </c>
    </row>
    <row r="4196">
      <c r="A4196">
        <f>MOD(4196-1,101)</f>
        <v>54</v>
      </c>
    </row>
    <row r="4197">
      <c r="A4197">
        <f>MOD(4197-1,101)</f>
        <v>55</v>
      </c>
    </row>
    <row r="4198">
      <c r="A4198">
        <f>MOD(4198-1,101)</f>
        <v>56</v>
      </c>
    </row>
    <row r="4199">
      <c r="A4199">
        <f>MOD(4199-1,101)</f>
        <v>57</v>
      </c>
    </row>
    <row r="4200">
      <c r="A4200">
        <f>MOD(4200-1,101)</f>
        <v>58</v>
      </c>
    </row>
    <row r="4201">
      <c r="A4201">
        <f>MOD(4201-1,101)</f>
        <v>59</v>
      </c>
    </row>
    <row r="4202">
      <c r="A4202">
        <f>MOD(4202-1,101)</f>
        <v>60</v>
      </c>
    </row>
    <row r="4203">
      <c r="A4203">
        <f>MOD(4203-1,101)</f>
        <v>61</v>
      </c>
    </row>
    <row r="4204">
      <c r="A4204">
        <f>MOD(4204-1,101)</f>
        <v>62</v>
      </c>
    </row>
    <row r="4205">
      <c r="A4205">
        <f>MOD(4205-1,101)</f>
        <v>63</v>
      </c>
    </row>
    <row r="4206">
      <c r="A4206">
        <f>MOD(4206-1,101)</f>
        <v>64</v>
      </c>
    </row>
    <row r="4207">
      <c r="A4207">
        <f>MOD(4207-1,101)</f>
        <v>65</v>
      </c>
    </row>
    <row r="4208">
      <c r="A4208">
        <f>MOD(4208-1,101)</f>
        <v>66</v>
      </c>
    </row>
    <row r="4209">
      <c r="A4209">
        <f>MOD(4209-1,101)</f>
        <v>67</v>
      </c>
    </row>
    <row r="4210">
      <c r="A4210">
        <f>MOD(4210-1,101)</f>
        <v>68</v>
      </c>
    </row>
    <row r="4211">
      <c r="A4211">
        <f>MOD(4211-1,101)</f>
        <v>69</v>
      </c>
    </row>
    <row r="4212">
      <c r="A4212">
        <f>MOD(4212-1,101)</f>
        <v>70</v>
      </c>
    </row>
    <row r="4213">
      <c r="A4213">
        <f>MOD(4213-1,101)</f>
        <v>71</v>
      </c>
    </row>
    <row r="4214">
      <c r="A4214">
        <f>MOD(4214-1,101)</f>
        <v>72</v>
      </c>
    </row>
    <row r="4215">
      <c r="A4215">
        <f>MOD(4215-1,101)</f>
        <v>73</v>
      </c>
    </row>
    <row r="4216">
      <c r="A4216">
        <f>MOD(4216-1,101)</f>
        <v>74</v>
      </c>
    </row>
    <row r="4217">
      <c r="A4217">
        <f>MOD(4217-1,101)</f>
        <v>75</v>
      </c>
    </row>
    <row r="4218">
      <c r="A4218">
        <f>MOD(4218-1,101)</f>
        <v>76</v>
      </c>
    </row>
    <row r="4219">
      <c r="A4219">
        <f>MOD(4219-1,101)</f>
        <v>77</v>
      </c>
    </row>
    <row r="4220">
      <c r="A4220">
        <f>MOD(4220-1,101)</f>
        <v>78</v>
      </c>
    </row>
    <row r="4221">
      <c r="A4221">
        <f>MOD(4221-1,101)</f>
        <v>79</v>
      </c>
    </row>
    <row r="4222">
      <c r="A4222">
        <f>MOD(4222-1,101)</f>
        <v>80</v>
      </c>
    </row>
    <row r="4223">
      <c r="A4223">
        <f>MOD(4223-1,101)</f>
        <v>81</v>
      </c>
    </row>
    <row r="4224">
      <c r="A4224">
        <f>MOD(4224-1,101)</f>
        <v>82</v>
      </c>
    </row>
    <row r="4225">
      <c r="A4225">
        <f>MOD(4225-1,101)</f>
        <v>83</v>
      </c>
    </row>
    <row r="4226">
      <c r="A4226">
        <f>MOD(4226-1,101)</f>
        <v>84</v>
      </c>
    </row>
    <row r="4227">
      <c r="A4227">
        <f>MOD(4227-1,101)</f>
        <v>85</v>
      </c>
    </row>
    <row r="4228">
      <c r="A4228">
        <f>MOD(4228-1,101)</f>
        <v>86</v>
      </c>
    </row>
    <row r="4229">
      <c r="A4229">
        <f>MOD(4229-1,101)</f>
        <v>87</v>
      </c>
    </row>
    <row r="4230">
      <c r="A4230">
        <f>MOD(4230-1,101)</f>
        <v>88</v>
      </c>
    </row>
    <row r="4231">
      <c r="A4231">
        <f>MOD(4231-1,101)</f>
        <v>89</v>
      </c>
    </row>
    <row r="4232">
      <c r="A4232">
        <f>MOD(4232-1,101)</f>
        <v>90</v>
      </c>
    </row>
    <row r="4233">
      <c r="A4233">
        <f>MOD(4233-1,101)</f>
        <v>91</v>
      </c>
    </row>
    <row r="4234">
      <c r="A4234">
        <f>MOD(4234-1,101)</f>
        <v>92</v>
      </c>
    </row>
    <row r="4235">
      <c r="A4235">
        <f>MOD(4235-1,101)</f>
        <v>93</v>
      </c>
    </row>
    <row r="4236">
      <c r="A4236">
        <f>MOD(4236-1,101)</f>
        <v>94</v>
      </c>
    </row>
    <row r="4237">
      <c r="A4237">
        <f>MOD(4237-1,101)</f>
        <v>95</v>
      </c>
    </row>
    <row r="4238">
      <c r="A4238">
        <f>MOD(4238-1,101)</f>
        <v>96</v>
      </c>
    </row>
    <row r="4239">
      <c r="A4239">
        <f>MOD(4239-1,101)</f>
        <v>97</v>
      </c>
    </row>
    <row r="4240">
      <c r="A4240">
        <f>MOD(4240-1,101)</f>
        <v>98</v>
      </c>
    </row>
    <row r="4241">
      <c r="A4241">
        <f>MOD(4241-1,101)</f>
        <v>99</v>
      </c>
    </row>
    <row r="4242">
      <c r="A4242">
        <f>MOD(4242-1,101)</f>
        <v>100</v>
      </c>
    </row>
    <row r="4243">
      <c r="A4243">
        <f>MOD(4243-1,101)</f>
        <v>0</v>
      </c>
    </row>
    <row r="4244">
      <c r="A4244">
        <f>MOD(4244-1,101)</f>
        <v>1</v>
      </c>
    </row>
    <row r="4245">
      <c r="A4245">
        <f>MOD(4245-1,101)</f>
        <v>2</v>
      </c>
    </row>
    <row r="4246">
      <c r="A4246">
        <f>MOD(4246-1,101)</f>
        <v>3</v>
      </c>
    </row>
    <row r="4247">
      <c r="A4247">
        <f>MOD(4247-1,101)</f>
        <v>4</v>
      </c>
    </row>
    <row r="4248">
      <c r="A4248">
        <f>MOD(4248-1,101)</f>
        <v>5</v>
      </c>
    </row>
    <row r="4249">
      <c r="A4249">
        <f>MOD(4249-1,101)</f>
        <v>6</v>
      </c>
    </row>
    <row r="4250">
      <c r="A4250">
        <f>MOD(4250-1,101)</f>
        <v>7</v>
      </c>
    </row>
    <row r="4251">
      <c r="A4251">
        <f>MOD(4251-1,101)</f>
        <v>8</v>
      </c>
    </row>
    <row r="4252">
      <c r="A4252">
        <f>MOD(4252-1,101)</f>
        <v>9</v>
      </c>
    </row>
    <row r="4253">
      <c r="A4253">
        <f>MOD(4253-1,101)</f>
        <v>10</v>
      </c>
    </row>
    <row r="4254">
      <c r="A4254">
        <f>MOD(4254-1,101)</f>
        <v>11</v>
      </c>
    </row>
    <row r="4255">
      <c r="A4255">
        <f>MOD(4255-1,101)</f>
        <v>12</v>
      </c>
    </row>
    <row r="4256">
      <c r="A4256">
        <f>MOD(4256-1,101)</f>
        <v>13</v>
      </c>
    </row>
    <row r="4257">
      <c r="A4257">
        <f>MOD(4257-1,101)</f>
        <v>14</v>
      </c>
    </row>
    <row r="4258">
      <c r="A4258">
        <f>MOD(4258-1,101)</f>
        <v>15</v>
      </c>
    </row>
    <row r="4259">
      <c r="A4259">
        <f>MOD(4259-1,101)</f>
        <v>16</v>
      </c>
    </row>
    <row r="4260">
      <c r="A4260">
        <f>MOD(4260-1,101)</f>
        <v>17</v>
      </c>
    </row>
    <row r="4261">
      <c r="A4261">
        <f>MOD(4261-1,101)</f>
        <v>18</v>
      </c>
    </row>
    <row r="4262">
      <c r="A4262">
        <f>MOD(4262-1,101)</f>
        <v>19</v>
      </c>
    </row>
    <row r="4263">
      <c r="A4263">
        <f>MOD(4263-1,101)</f>
        <v>20</v>
      </c>
    </row>
    <row r="4264">
      <c r="A4264">
        <f>MOD(4264-1,101)</f>
        <v>21</v>
      </c>
    </row>
    <row r="4265">
      <c r="A4265">
        <f>MOD(4265-1,101)</f>
        <v>22</v>
      </c>
    </row>
    <row r="4266">
      <c r="A4266">
        <f>MOD(4266-1,101)</f>
        <v>23</v>
      </c>
    </row>
    <row r="4267">
      <c r="A4267">
        <f>MOD(4267-1,101)</f>
        <v>24</v>
      </c>
    </row>
    <row r="4268">
      <c r="A4268">
        <f>MOD(4268-1,101)</f>
        <v>25</v>
      </c>
    </row>
    <row r="4269">
      <c r="A4269">
        <f>MOD(4269-1,101)</f>
        <v>26</v>
      </c>
    </row>
    <row r="4270">
      <c r="A4270">
        <f>MOD(4270-1,101)</f>
        <v>27</v>
      </c>
    </row>
    <row r="4271">
      <c r="A4271">
        <f>MOD(4271-1,101)</f>
        <v>28</v>
      </c>
    </row>
    <row r="4272">
      <c r="A4272">
        <f>MOD(4272-1,101)</f>
        <v>29</v>
      </c>
    </row>
    <row r="4273">
      <c r="A4273">
        <f>MOD(4273-1,101)</f>
        <v>30</v>
      </c>
    </row>
    <row r="4274">
      <c r="A4274">
        <f>MOD(4274-1,101)</f>
        <v>31</v>
      </c>
    </row>
    <row r="4275">
      <c r="A4275">
        <f>MOD(4275-1,101)</f>
        <v>32</v>
      </c>
    </row>
    <row r="4276">
      <c r="A4276">
        <f>MOD(4276-1,101)</f>
        <v>33</v>
      </c>
    </row>
    <row r="4277">
      <c r="A4277">
        <f>MOD(4277-1,101)</f>
        <v>34</v>
      </c>
    </row>
    <row r="4278">
      <c r="A4278">
        <f>MOD(4278-1,101)</f>
        <v>35</v>
      </c>
    </row>
    <row r="4279">
      <c r="A4279">
        <f>MOD(4279-1,101)</f>
        <v>36</v>
      </c>
    </row>
    <row r="4280">
      <c r="A4280">
        <f>MOD(4280-1,101)</f>
        <v>37</v>
      </c>
    </row>
    <row r="4281">
      <c r="A4281">
        <f>MOD(4281-1,101)</f>
        <v>38</v>
      </c>
    </row>
    <row r="4282">
      <c r="A4282">
        <f>MOD(4282-1,101)</f>
        <v>39</v>
      </c>
    </row>
    <row r="4283">
      <c r="A4283">
        <f>MOD(4283-1,101)</f>
        <v>40</v>
      </c>
    </row>
    <row r="4284">
      <c r="A4284">
        <f>MOD(4284-1,101)</f>
        <v>41</v>
      </c>
    </row>
    <row r="4285">
      <c r="A4285">
        <f>MOD(4285-1,101)</f>
        <v>42</v>
      </c>
    </row>
    <row r="4286">
      <c r="A4286">
        <f>MOD(4286-1,101)</f>
        <v>43</v>
      </c>
    </row>
    <row r="4287">
      <c r="A4287">
        <f>MOD(4287-1,101)</f>
        <v>44</v>
      </c>
    </row>
    <row r="4288">
      <c r="A4288">
        <f>MOD(4288-1,101)</f>
        <v>45</v>
      </c>
    </row>
    <row r="4289">
      <c r="A4289">
        <f>MOD(4289-1,101)</f>
        <v>46</v>
      </c>
    </row>
    <row r="4290">
      <c r="A4290">
        <f>MOD(4290-1,101)</f>
        <v>47</v>
      </c>
    </row>
    <row r="4291">
      <c r="A4291">
        <f>MOD(4291-1,101)</f>
        <v>48</v>
      </c>
    </row>
    <row r="4292">
      <c r="A4292">
        <f>MOD(4292-1,101)</f>
        <v>49</v>
      </c>
    </row>
    <row r="4293">
      <c r="A4293">
        <f>MOD(4293-1,101)</f>
        <v>50</v>
      </c>
    </row>
    <row r="4294">
      <c r="A4294">
        <f>MOD(4294-1,101)</f>
        <v>51</v>
      </c>
    </row>
    <row r="4295">
      <c r="A4295">
        <f>MOD(4295-1,101)</f>
        <v>52</v>
      </c>
    </row>
    <row r="4296">
      <c r="A4296">
        <f>MOD(4296-1,101)</f>
        <v>53</v>
      </c>
    </row>
    <row r="4297">
      <c r="A4297">
        <f>MOD(4297-1,101)</f>
        <v>54</v>
      </c>
    </row>
    <row r="4298">
      <c r="A4298">
        <f>MOD(4298-1,101)</f>
        <v>55</v>
      </c>
    </row>
    <row r="4299">
      <c r="A4299">
        <f>MOD(4299-1,101)</f>
        <v>56</v>
      </c>
    </row>
    <row r="4300">
      <c r="A4300">
        <f>MOD(4300-1,101)</f>
        <v>57</v>
      </c>
    </row>
    <row r="4301">
      <c r="A4301">
        <f>MOD(4301-1,101)</f>
        <v>58</v>
      </c>
    </row>
    <row r="4302">
      <c r="A4302">
        <f>MOD(4302-1,101)</f>
        <v>59</v>
      </c>
    </row>
    <row r="4303">
      <c r="A4303">
        <f>MOD(4303-1,101)</f>
        <v>60</v>
      </c>
    </row>
    <row r="4304">
      <c r="A4304">
        <f>MOD(4304-1,101)</f>
        <v>61</v>
      </c>
    </row>
    <row r="4305">
      <c r="A4305">
        <f>MOD(4305-1,101)</f>
        <v>62</v>
      </c>
    </row>
    <row r="4306">
      <c r="A4306">
        <f>MOD(4306-1,101)</f>
        <v>63</v>
      </c>
    </row>
    <row r="4307">
      <c r="A4307">
        <f>MOD(4307-1,101)</f>
        <v>64</v>
      </c>
    </row>
    <row r="4308">
      <c r="A4308">
        <f>MOD(4308-1,101)</f>
        <v>65</v>
      </c>
    </row>
    <row r="4309">
      <c r="A4309">
        <f>MOD(4309-1,101)</f>
        <v>66</v>
      </c>
    </row>
    <row r="4310">
      <c r="A4310">
        <f>MOD(4310-1,101)</f>
        <v>67</v>
      </c>
    </row>
    <row r="4311">
      <c r="A4311">
        <f>MOD(4311-1,101)</f>
        <v>68</v>
      </c>
    </row>
    <row r="4312">
      <c r="A4312">
        <f>MOD(4312-1,101)</f>
        <v>69</v>
      </c>
    </row>
    <row r="4313">
      <c r="A4313">
        <f>MOD(4313-1,101)</f>
        <v>70</v>
      </c>
    </row>
    <row r="4314">
      <c r="A4314">
        <f>MOD(4314-1,101)</f>
        <v>71</v>
      </c>
    </row>
    <row r="4315">
      <c r="A4315">
        <f>MOD(4315-1,101)</f>
        <v>72</v>
      </c>
    </row>
    <row r="4316">
      <c r="A4316">
        <f>MOD(4316-1,101)</f>
        <v>73</v>
      </c>
    </row>
    <row r="4317">
      <c r="A4317">
        <f>MOD(4317-1,101)</f>
        <v>74</v>
      </c>
    </row>
    <row r="4318">
      <c r="A4318">
        <f>MOD(4318-1,101)</f>
        <v>75</v>
      </c>
    </row>
    <row r="4319">
      <c r="A4319">
        <f>MOD(4319-1,101)</f>
        <v>76</v>
      </c>
    </row>
    <row r="4320">
      <c r="A4320">
        <f>MOD(4320-1,101)</f>
        <v>77</v>
      </c>
    </row>
    <row r="4321">
      <c r="A4321">
        <f>MOD(4321-1,101)</f>
        <v>78</v>
      </c>
    </row>
    <row r="4322">
      <c r="A4322">
        <f>MOD(4322-1,101)</f>
        <v>79</v>
      </c>
    </row>
    <row r="4323">
      <c r="A4323">
        <f>MOD(4323-1,101)</f>
        <v>80</v>
      </c>
    </row>
    <row r="4324">
      <c r="A4324">
        <f>MOD(4324-1,101)</f>
        <v>81</v>
      </c>
    </row>
    <row r="4325">
      <c r="A4325">
        <f>MOD(4325-1,101)</f>
        <v>82</v>
      </c>
    </row>
    <row r="4326">
      <c r="A4326">
        <f>MOD(4326-1,101)</f>
        <v>83</v>
      </c>
    </row>
    <row r="4327">
      <c r="A4327">
        <f>MOD(4327-1,101)</f>
        <v>84</v>
      </c>
    </row>
    <row r="4328">
      <c r="A4328">
        <f>MOD(4328-1,101)</f>
        <v>85</v>
      </c>
    </row>
    <row r="4329">
      <c r="A4329">
        <f>MOD(4329-1,101)</f>
        <v>86</v>
      </c>
    </row>
    <row r="4330">
      <c r="A4330">
        <f>MOD(4330-1,101)</f>
        <v>87</v>
      </c>
    </row>
    <row r="4331">
      <c r="A4331">
        <f>MOD(4331-1,101)</f>
        <v>88</v>
      </c>
    </row>
    <row r="4332">
      <c r="A4332">
        <f>MOD(4332-1,101)</f>
        <v>89</v>
      </c>
    </row>
    <row r="4333">
      <c r="A4333">
        <f>MOD(4333-1,101)</f>
        <v>90</v>
      </c>
    </row>
    <row r="4334">
      <c r="A4334">
        <f>MOD(4334-1,101)</f>
        <v>91</v>
      </c>
    </row>
    <row r="4335">
      <c r="A4335">
        <f>MOD(4335-1,101)</f>
        <v>92</v>
      </c>
    </row>
    <row r="4336">
      <c r="A4336">
        <f>MOD(4336-1,101)</f>
        <v>93</v>
      </c>
    </row>
    <row r="4337">
      <c r="A4337">
        <f>MOD(4337-1,101)</f>
        <v>94</v>
      </c>
    </row>
    <row r="4338">
      <c r="A4338">
        <f>MOD(4338-1,101)</f>
        <v>95</v>
      </c>
    </row>
    <row r="4339">
      <c r="A4339">
        <f>MOD(4339-1,101)</f>
        <v>96</v>
      </c>
    </row>
    <row r="4340">
      <c r="A4340">
        <f>MOD(4340-1,101)</f>
        <v>97</v>
      </c>
    </row>
    <row r="4341">
      <c r="A4341">
        <f>MOD(4341-1,101)</f>
        <v>98</v>
      </c>
    </row>
    <row r="4342">
      <c r="A4342">
        <f>MOD(4342-1,101)</f>
        <v>99</v>
      </c>
    </row>
    <row r="4343">
      <c r="A4343">
        <f>MOD(4343-1,101)</f>
        <v>100</v>
      </c>
    </row>
    <row r="4344">
      <c r="A4344">
        <f>MOD(4344-1,101)</f>
        <v>0</v>
      </c>
    </row>
    <row r="4345">
      <c r="A4345">
        <f>MOD(4345-1,101)</f>
        <v>1</v>
      </c>
    </row>
    <row r="4346">
      <c r="A4346">
        <f>MOD(4346-1,101)</f>
        <v>2</v>
      </c>
    </row>
    <row r="4347">
      <c r="A4347">
        <f>MOD(4347-1,101)</f>
        <v>3</v>
      </c>
    </row>
    <row r="4348">
      <c r="A4348">
        <f>MOD(4348-1,101)</f>
        <v>4</v>
      </c>
    </row>
    <row r="4349">
      <c r="A4349">
        <f>MOD(4349-1,101)</f>
        <v>5</v>
      </c>
    </row>
    <row r="4350">
      <c r="A4350">
        <f>MOD(4350-1,101)</f>
        <v>6</v>
      </c>
    </row>
    <row r="4351">
      <c r="A4351">
        <f>MOD(4351-1,101)</f>
        <v>7</v>
      </c>
    </row>
    <row r="4352">
      <c r="A4352">
        <f>MOD(4352-1,101)</f>
        <v>8</v>
      </c>
    </row>
    <row r="4353">
      <c r="A4353">
        <f>MOD(4353-1,101)</f>
        <v>9</v>
      </c>
    </row>
    <row r="4354">
      <c r="A4354">
        <f>MOD(4354-1,101)</f>
        <v>10</v>
      </c>
    </row>
    <row r="4355">
      <c r="A4355">
        <f>MOD(4355-1,101)</f>
        <v>11</v>
      </c>
    </row>
    <row r="4356">
      <c r="A4356">
        <f>MOD(4356-1,101)</f>
        <v>12</v>
      </c>
    </row>
    <row r="4357">
      <c r="A4357">
        <f>MOD(4357-1,101)</f>
        <v>13</v>
      </c>
    </row>
    <row r="4358">
      <c r="A4358">
        <f>MOD(4358-1,101)</f>
        <v>14</v>
      </c>
    </row>
    <row r="4359">
      <c r="A4359">
        <f>MOD(4359-1,101)</f>
        <v>15</v>
      </c>
    </row>
    <row r="4360">
      <c r="A4360">
        <f>MOD(4360-1,101)</f>
        <v>16</v>
      </c>
    </row>
    <row r="4361">
      <c r="A4361">
        <f>MOD(4361-1,101)</f>
        <v>17</v>
      </c>
    </row>
    <row r="4362">
      <c r="A4362">
        <f>MOD(4362-1,101)</f>
        <v>18</v>
      </c>
    </row>
    <row r="4363">
      <c r="A4363">
        <f>MOD(4363-1,101)</f>
        <v>19</v>
      </c>
    </row>
    <row r="4364">
      <c r="A4364">
        <f>MOD(4364-1,101)</f>
        <v>20</v>
      </c>
    </row>
    <row r="4365">
      <c r="A4365">
        <f>MOD(4365-1,101)</f>
        <v>21</v>
      </c>
    </row>
    <row r="4366">
      <c r="A4366">
        <f>MOD(4366-1,101)</f>
        <v>22</v>
      </c>
    </row>
    <row r="4367">
      <c r="A4367">
        <f>MOD(4367-1,101)</f>
        <v>23</v>
      </c>
    </row>
    <row r="4368">
      <c r="A4368">
        <f>MOD(4368-1,101)</f>
        <v>24</v>
      </c>
    </row>
    <row r="4369">
      <c r="A4369">
        <f>MOD(4369-1,101)</f>
        <v>25</v>
      </c>
    </row>
    <row r="4370">
      <c r="A4370">
        <f>MOD(4370-1,101)</f>
        <v>26</v>
      </c>
    </row>
    <row r="4371">
      <c r="A4371">
        <f>MOD(4371-1,101)</f>
        <v>27</v>
      </c>
    </row>
    <row r="4372">
      <c r="A4372">
        <f>MOD(4372-1,101)</f>
        <v>28</v>
      </c>
    </row>
    <row r="4373">
      <c r="A4373">
        <f>MOD(4373-1,101)</f>
        <v>29</v>
      </c>
    </row>
    <row r="4374">
      <c r="A4374">
        <f>MOD(4374-1,101)</f>
        <v>30</v>
      </c>
    </row>
    <row r="4375">
      <c r="A4375">
        <f>MOD(4375-1,101)</f>
        <v>31</v>
      </c>
    </row>
    <row r="4376">
      <c r="A4376">
        <f>MOD(4376-1,101)</f>
        <v>32</v>
      </c>
    </row>
    <row r="4377">
      <c r="A4377">
        <f>MOD(4377-1,101)</f>
        <v>33</v>
      </c>
    </row>
    <row r="4378">
      <c r="A4378">
        <f>MOD(4378-1,101)</f>
        <v>34</v>
      </c>
    </row>
    <row r="4379">
      <c r="A4379">
        <f>MOD(4379-1,101)</f>
        <v>35</v>
      </c>
    </row>
    <row r="4380">
      <c r="A4380">
        <f>MOD(4380-1,101)</f>
        <v>36</v>
      </c>
    </row>
    <row r="4381">
      <c r="A4381">
        <f>MOD(4381-1,101)</f>
        <v>37</v>
      </c>
    </row>
    <row r="4382">
      <c r="A4382">
        <f>MOD(4382-1,101)</f>
        <v>38</v>
      </c>
    </row>
    <row r="4383">
      <c r="A4383">
        <f>MOD(4383-1,101)</f>
        <v>39</v>
      </c>
    </row>
    <row r="4384">
      <c r="A4384">
        <f>MOD(4384-1,101)</f>
        <v>40</v>
      </c>
    </row>
    <row r="4385">
      <c r="A4385">
        <f>MOD(4385-1,101)</f>
        <v>41</v>
      </c>
    </row>
    <row r="4386">
      <c r="A4386">
        <f>MOD(4386-1,101)</f>
        <v>42</v>
      </c>
    </row>
    <row r="4387">
      <c r="A4387">
        <f>MOD(4387-1,101)</f>
        <v>43</v>
      </c>
    </row>
    <row r="4388">
      <c r="A4388">
        <f>MOD(4388-1,101)</f>
        <v>44</v>
      </c>
    </row>
    <row r="4389">
      <c r="A4389">
        <f>MOD(4389-1,101)</f>
        <v>45</v>
      </c>
    </row>
    <row r="4390">
      <c r="A4390">
        <f>MOD(4390-1,101)</f>
        <v>46</v>
      </c>
    </row>
    <row r="4391">
      <c r="A4391">
        <f>MOD(4391-1,101)</f>
        <v>47</v>
      </c>
    </row>
    <row r="4392">
      <c r="A4392">
        <f>MOD(4392-1,101)</f>
        <v>48</v>
      </c>
    </row>
    <row r="4393">
      <c r="A4393">
        <f>MOD(4393-1,101)</f>
        <v>49</v>
      </c>
    </row>
    <row r="4394">
      <c r="A4394">
        <f>MOD(4394-1,101)</f>
        <v>50</v>
      </c>
    </row>
    <row r="4395">
      <c r="A4395">
        <f>MOD(4395-1,101)</f>
        <v>51</v>
      </c>
    </row>
    <row r="4396">
      <c r="A4396">
        <f>MOD(4396-1,101)</f>
        <v>52</v>
      </c>
    </row>
    <row r="4397">
      <c r="A4397">
        <f>MOD(4397-1,101)</f>
        <v>53</v>
      </c>
    </row>
    <row r="4398">
      <c r="A4398">
        <f>MOD(4398-1,101)</f>
        <v>54</v>
      </c>
    </row>
    <row r="4399">
      <c r="A4399">
        <f>MOD(4399-1,101)</f>
        <v>55</v>
      </c>
    </row>
    <row r="4400">
      <c r="A4400">
        <f>MOD(4400-1,101)</f>
        <v>56</v>
      </c>
    </row>
    <row r="4401">
      <c r="A4401">
        <f>MOD(4401-1,101)</f>
        <v>57</v>
      </c>
    </row>
    <row r="4402">
      <c r="A4402">
        <f>MOD(4402-1,101)</f>
        <v>58</v>
      </c>
    </row>
    <row r="4403">
      <c r="A4403">
        <f>MOD(4403-1,101)</f>
        <v>59</v>
      </c>
    </row>
    <row r="4404">
      <c r="A4404">
        <f>MOD(4404-1,101)</f>
        <v>60</v>
      </c>
    </row>
    <row r="4405">
      <c r="A4405">
        <f>MOD(4405-1,101)</f>
        <v>61</v>
      </c>
    </row>
    <row r="4406">
      <c r="A4406">
        <f>MOD(4406-1,101)</f>
        <v>62</v>
      </c>
    </row>
    <row r="4407">
      <c r="A4407">
        <f>MOD(4407-1,101)</f>
        <v>63</v>
      </c>
    </row>
    <row r="4408">
      <c r="A4408">
        <f>MOD(4408-1,101)</f>
        <v>64</v>
      </c>
    </row>
    <row r="4409">
      <c r="A4409">
        <f>MOD(4409-1,101)</f>
        <v>65</v>
      </c>
    </row>
    <row r="4410">
      <c r="A4410">
        <f>MOD(4410-1,101)</f>
        <v>66</v>
      </c>
    </row>
    <row r="4411">
      <c r="A4411">
        <f>MOD(4411-1,101)</f>
        <v>67</v>
      </c>
    </row>
    <row r="4412">
      <c r="A4412">
        <f>MOD(4412-1,101)</f>
        <v>68</v>
      </c>
    </row>
    <row r="4413">
      <c r="A4413">
        <f>MOD(4413-1,101)</f>
        <v>69</v>
      </c>
    </row>
    <row r="4414">
      <c r="A4414">
        <f>MOD(4414-1,101)</f>
        <v>70</v>
      </c>
    </row>
    <row r="4415">
      <c r="A4415">
        <f>MOD(4415-1,101)</f>
        <v>71</v>
      </c>
    </row>
    <row r="4416">
      <c r="A4416">
        <f>MOD(4416-1,101)</f>
        <v>72</v>
      </c>
    </row>
    <row r="4417">
      <c r="A4417">
        <f>MOD(4417-1,101)</f>
        <v>73</v>
      </c>
    </row>
    <row r="4418">
      <c r="A4418">
        <f>MOD(4418-1,101)</f>
        <v>74</v>
      </c>
    </row>
    <row r="4419">
      <c r="A4419">
        <f>MOD(4419-1,101)</f>
        <v>75</v>
      </c>
    </row>
    <row r="4420">
      <c r="A4420">
        <f>MOD(4420-1,101)</f>
        <v>76</v>
      </c>
    </row>
    <row r="4421">
      <c r="A4421">
        <f>MOD(4421-1,101)</f>
        <v>77</v>
      </c>
    </row>
    <row r="4422">
      <c r="A4422">
        <f>MOD(4422-1,101)</f>
        <v>78</v>
      </c>
    </row>
    <row r="4423">
      <c r="A4423">
        <f>MOD(4423-1,101)</f>
        <v>79</v>
      </c>
    </row>
    <row r="4424">
      <c r="A4424">
        <f>MOD(4424-1,101)</f>
        <v>80</v>
      </c>
    </row>
    <row r="4425">
      <c r="A4425">
        <f>MOD(4425-1,101)</f>
        <v>81</v>
      </c>
    </row>
    <row r="4426">
      <c r="A4426">
        <f>MOD(4426-1,101)</f>
        <v>82</v>
      </c>
    </row>
    <row r="4427">
      <c r="A4427">
        <f>MOD(4427-1,101)</f>
        <v>83</v>
      </c>
    </row>
    <row r="4428">
      <c r="A4428">
        <f>MOD(4428-1,101)</f>
        <v>84</v>
      </c>
    </row>
    <row r="4429">
      <c r="A4429">
        <f>MOD(4429-1,101)</f>
        <v>85</v>
      </c>
    </row>
    <row r="4430">
      <c r="A4430">
        <f>MOD(4430-1,101)</f>
        <v>86</v>
      </c>
    </row>
    <row r="4431">
      <c r="A4431">
        <f>MOD(4431-1,101)</f>
        <v>87</v>
      </c>
    </row>
    <row r="4432">
      <c r="A4432">
        <f>MOD(4432-1,101)</f>
        <v>88</v>
      </c>
    </row>
    <row r="4433">
      <c r="A4433">
        <f>MOD(4433-1,101)</f>
        <v>89</v>
      </c>
    </row>
    <row r="4434">
      <c r="A4434">
        <f>MOD(4434-1,101)</f>
        <v>90</v>
      </c>
    </row>
    <row r="4435">
      <c r="A4435">
        <f>MOD(4435-1,101)</f>
        <v>91</v>
      </c>
    </row>
    <row r="4436">
      <c r="A4436">
        <f>MOD(4436-1,101)</f>
        <v>92</v>
      </c>
    </row>
    <row r="4437">
      <c r="A4437">
        <f>MOD(4437-1,101)</f>
        <v>93</v>
      </c>
    </row>
    <row r="4438">
      <c r="A4438">
        <f>MOD(4438-1,101)</f>
        <v>94</v>
      </c>
    </row>
    <row r="4439">
      <c r="A4439">
        <f>MOD(4439-1,101)</f>
        <v>95</v>
      </c>
    </row>
    <row r="4440">
      <c r="A4440">
        <f>MOD(4440-1,101)</f>
        <v>96</v>
      </c>
    </row>
    <row r="4441">
      <c r="A4441">
        <f>MOD(4441-1,101)</f>
        <v>97</v>
      </c>
    </row>
    <row r="4442">
      <c r="A4442">
        <f>MOD(4442-1,101)</f>
        <v>98</v>
      </c>
    </row>
    <row r="4443">
      <c r="A4443">
        <f>MOD(4443-1,101)</f>
        <v>99</v>
      </c>
    </row>
    <row r="4444">
      <c r="A4444">
        <f>MOD(4444-1,101)</f>
        <v>100</v>
      </c>
    </row>
    <row r="4445">
      <c r="A4445">
        <f>MOD(4445-1,101)</f>
        <v>0</v>
      </c>
    </row>
    <row r="4446">
      <c r="A4446">
        <f>MOD(4446-1,101)</f>
        <v>1</v>
      </c>
    </row>
    <row r="4447">
      <c r="A4447">
        <f>MOD(4447-1,101)</f>
        <v>2</v>
      </c>
    </row>
    <row r="4448">
      <c r="A4448">
        <f>MOD(4448-1,101)</f>
        <v>3</v>
      </c>
    </row>
    <row r="4449">
      <c r="A4449">
        <f>MOD(4449-1,101)</f>
        <v>4</v>
      </c>
    </row>
    <row r="4450">
      <c r="A4450">
        <f>MOD(4450-1,101)</f>
        <v>5</v>
      </c>
    </row>
    <row r="4451">
      <c r="A4451">
        <f>MOD(4451-1,101)</f>
        <v>6</v>
      </c>
    </row>
    <row r="4452">
      <c r="A4452">
        <f>MOD(4452-1,101)</f>
        <v>7</v>
      </c>
    </row>
    <row r="4453">
      <c r="A4453">
        <f>MOD(4453-1,101)</f>
        <v>8</v>
      </c>
    </row>
    <row r="4454">
      <c r="A4454">
        <f>MOD(4454-1,101)</f>
        <v>9</v>
      </c>
    </row>
    <row r="4455">
      <c r="A4455">
        <f>MOD(4455-1,101)</f>
        <v>10</v>
      </c>
    </row>
    <row r="4456">
      <c r="A4456">
        <f>MOD(4456-1,101)</f>
        <v>11</v>
      </c>
    </row>
    <row r="4457">
      <c r="A4457">
        <f>MOD(4457-1,101)</f>
        <v>12</v>
      </c>
    </row>
    <row r="4458">
      <c r="A4458">
        <f>MOD(4458-1,101)</f>
        <v>13</v>
      </c>
    </row>
    <row r="4459">
      <c r="A4459">
        <f>MOD(4459-1,101)</f>
        <v>14</v>
      </c>
    </row>
    <row r="4460">
      <c r="A4460">
        <f>MOD(4460-1,101)</f>
        <v>15</v>
      </c>
    </row>
    <row r="4461">
      <c r="A4461">
        <f>MOD(4461-1,101)</f>
        <v>16</v>
      </c>
    </row>
    <row r="4462">
      <c r="A4462">
        <f>MOD(4462-1,101)</f>
        <v>17</v>
      </c>
    </row>
    <row r="4463">
      <c r="A4463">
        <f>MOD(4463-1,101)</f>
        <v>18</v>
      </c>
    </row>
    <row r="4464">
      <c r="A4464">
        <f>MOD(4464-1,101)</f>
        <v>19</v>
      </c>
    </row>
    <row r="4465">
      <c r="A4465">
        <f>MOD(4465-1,101)</f>
        <v>20</v>
      </c>
    </row>
    <row r="4466">
      <c r="A4466">
        <f>MOD(4466-1,101)</f>
        <v>21</v>
      </c>
    </row>
    <row r="4467">
      <c r="A4467">
        <f>MOD(4467-1,101)</f>
        <v>22</v>
      </c>
    </row>
    <row r="4468">
      <c r="A4468">
        <f>MOD(4468-1,101)</f>
        <v>23</v>
      </c>
    </row>
    <row r="4469">
      <c r="A4469">
        <f>MOD(4469-1,101)</f>
        <v>24</v>
      </c>
    </row>
    <row r="4470">
      <c r="A4470">
        <f>MOD(4470-1,101)</f>
        <v>25</v>
      </c>
    </row>
    <row r="4471">
      <c r="A4471">
        <f>MOD(4471-1,101)</f>
        <v>26</v>
      </c>
    </row>
    <row r="4472">
      <c r="A4472">
        <f>MOD(4472-1,101)</f>
        <v>27</v>
      </c>
    </row>
    <row r="4473">
      <c r="A4473">
        <f>MOD(4473-1,101)</f>
        <v>28</v>
      </c>
    </row>
    <row r="4474">
      <c r="A4474">
        <f>MOD(4474-1,101)</f>
        <v>29</v>
      </c>
    </row>
    <row r="4475">
      <c r="A4475">
        <f>MOD(4475-1,101)</f>
        <v>30</v>
      </c>
    </row>
    <row r="4476">
      <c r="A4476">
        <f>MOD(4476-1,101)</f>
        <v>31</v>
      </c>
    </row>
    <row r="4477">
      <c r="A4477">
        <f>MOD(4477-1,101)</f>
        <v>32</v>
      </c>
    </row>
    <row r="4478">
      <c r="A4478">
        <f>MOD(4478-1,101)</f>
        <v>33</v>
      </c>
    </row>
    <row r="4479">
      <c r="A4479">
        <f>MOD(4479-1,101)</f>
        <v>34</v>
      </c>
    </row>
    <row r="4480">
      <c r="A4480">
        <f>MOD(4480-1,101)</f>
        <v>35</v>
      </c>
    </row>
    <row r="4481">
      <c r="A4481">
        <f>MOD(4481-1,101)</f>
        <v>36</v>
      </c>
    </row>
    <row r="4482">
      <c r="A4482">
        <f>MOD(4482-1,101)</f>
        <v>37</v>
      </c>
    </row>
    <row r="4483">
      <c r="A4483">
        <f>MOD(4483-1,101)</f>
        <v>38</v>
      </c>
    </row>
    <row r="4484">
      <c r="A4484">
        <f>MOD(4484-1,101)</f>
        <v>39</v>
      </c>
    </row>
    <row r="4485">
      <c r="A4485">
        <f>MOD(4485-1,101)</f>
        <v>40</v>
      </c>
    </row>
    <row r="4486">
      <c r="A4486">
        <f>MOD(4486-1,101)</f>
        <v>41</v>
      </c>
    </row>
    <row r="4487">
      <c r="A4487">
        <f>MOD(4487-1,101)</f>
        <v>42</v>
      </c>
    </row>
    <row r="4488">
      <c r="A4488">
        <f>MOD(4488-1,101)</f>
        <v>43</v>
      </c>
    </row>
    <row r="4489">
      <c r="A4489">
        <f>MOD(4489-1,101)</f>
        <v>44</v>
      </c>
    </row>
    <row r="4490">
      <c r="A4490">
        <f>MOD(4490-1,101)</f>
        <v>45</v>
      </c>
    </row>
    <row r="4491">
      <c r="A4491">
        <f>MOD(4491-1,101)</f>
        <v>46</v>
      </c>
    </row>
    <row r="4492">
      <c r="A4492">
        <f>MOD(4492-1,101)</f>
        <v>47</v>
      </c>
    </row>
    <row r="4493">
      <c r="A4493">
        <f>MOD(4493-1,101)</f>
        <v>48</v>
      </c>
    </row>
    <row r="4494">
      <c r="A4494">
        <f>MOD(4494-1,101)</f>
        <v>49</v>
      </c>
    </row>
    <row r="4495">
      <c r="A4495">
        <f>MOD(4495-1,101)</f>
        <v>50</v>
      </c>
    </row>
    <row r="4496">
      <c r="A4496">
        <f>MOD(4496-1,101)</f>
        <v>51</v>
      </c>
    </row>
    <row r="4497">
      <c r="A4497">
        <f>MOD(4497-1,101)</f>
        <v>52</v>
      </c>
    </row>
    <row r="4498">
      <c r="A4498">
        <f>MOD(4498-1,101)</f>
        <v>53</v>
      </c>
    </row>
    <row r="4499">
      <c r="A4499">
        <f>MOD(4499-1,101)</f>
        <v>54</v>
      </c>
    </row>
    <row r="4500">
      <c r="A4500">
        <f>MOD(4500-1,101)</f>
        <v>55</v>
      </c>
    </row>
    <row r="4501">
      <c r="A4501">
        <f>MOD(4501-1,101)</f>
        <v>56</v>
      </c>
    </row>
    <row r="4502">
      <c r="A4502">
        <f>MOD(4502-1,101)</f>
        <v>57</v>
      </c>
    </row>
    <row r="4503">
      <c r="A4503">
        <f>MOD(4503-1,101)</f>
        <v>58</v>
      </c>
    </row>
    <row r="4504">
      <c r="A4504">
        <f>MOD(4504-1,101)</f>
        <v>59</v>
      </c>
    </row>
    <row r="4505">
      <c r="A4505">
        <f>MOD(4505-1,101)</f>
        <v>60</v>
      </c>
    </row>
    <row r="4506">
      <c r="A4506">
        <f>MOD(4506-1,101)</f>
        <v>61</v>
      </c>
    </row>
    <row r="4507">
      <c r="A4507">
        <f>MOD(4507-1,101)</f>
        <v>62</v>
      </c>
    </row>
    <row r="4508">
      <c r="A4508">
        <f>MOD(4508-1,101)</f>
        <v>63</v>
      </c>
    </row>
    <row r="4509">
      <c r="A4509">
        <f>MOD(4509-1,101)</f>
        <v>64</v>
      </c>
    </row>
    <row r="4510">
      <c r="A4510">
        <f>MOD(4510-1,101)</f>
        <v>65</v>
      </c>
    </row>
    <row r="4511">
      <c r="A4511">
        <f>MOD(4511-1,101)</f>
        <v>66</v>
      </c>
    </row>
    <row r="4512">
      <c r="A4512">
        <f>MOD(4512-1,101)</f>
        <v>67</v>
      </c>
    </row>
    <row r="4513">
      <c r="A4513">
        <f>MOD(4513-1,101)</f>
        <v>68</v>
      </c>
    </row>
    <row r="4514">
      <c r="A4514">
        <f>MOD(4514-1,101)</f>
        <v>69</v>
      </c>
    </row>
    <row r="4515">
      <c r="A4515">
        <f>MOD(4515-1,101)</f>
        <v>70</v>
      </c>
    </row>
    <row r="4516">
      <c r="A4516">
        <f>MOD(4516-1,101)</f>
        <v>71</v>
      </c>
    </row>
    <row r="4517">
      <c r="A4517">
        <f>MOD(4517-1,101)</f>
        <v>72</v>
      </c>
    </row>
    <row r="4518">
      <c r="A4518">
        <f>MOD(4518-1,101)</f>
        <v>73</v>
      </c>
    </row>
    <row r="4519">
      <c r="A4519">
        <f>MOD(4519-1,101)</f>
        <v>74</v>
      </c>
    </row>
    <row r="4520">
      <c r="A4520">
        <f>MOD(4520-1,101)</f>
        <v>75</v>
      </c>
    </row>
    <row r="4521">
      <c r="A4521">
        <f>MOD(4521-1,101)</f>
        <v>76</v>
      </c>
    </row>
    <row r="4522">
      <c r="A4522">
        <f>MOD(4522-1,101)</f>
        <v>77</v>
      </c>
    </row>
    <row r="4523">
      <c r="A4523">
        <f>MOD(4523-1,101)</f>
        <v>78</v>
      </c>
    </row>
    <row r="4524">
      <c r="A4524">
        <f>MOD(4524-1,101)</f>
        <v>79</v>
      </c>
    </row>
    <row r="4525">
      <c r="A4525">
        <f>MOD(4525-1,101)</f>
        <v>80</v>
      </c>
    </row>
    <row r="4526">
      <c r="A4526">
        <f>MOD(4526-1,101)</f>
        <v>81</v>
      </c>
    </row>
    <row r="4527">
      <c r="A4527">
        <f>MOD(4527-1,101)</f>
        <v>82</v>
      </c>
    </row>
    <row r="4528">
      <c r="A4528">
        <f>MOD(4528-1,101)</f>
        <v>83</v>
      </c>
    </row>
    <row r="4529">
      <c r="A4529">
        <f>MOD(4529-1,101)</f>
        <v>84</v>
      </c>
    </row>
    <row r="4530">
      <c r="A4530">
        <f>MOD(4530-1,101)</f>
        <v>85</v>
      </c>
    </row>
    <row r="4531">
      <c r="A4531">
        <f>MOD(4531-1,101)</f>
        <v>86</v>
      </c>
    </row>
    <row r="4532">
      <c r="A4532">
        <f>MOD(4532-1,101)</f>
        <v>87</v>
      </c>
    </row>
    <row r="4533">
      <c r="A4533">
        <f>MOD(4533-1,101)</f>
        <v>88</v>
      </c>
    </row>
    <row r="4534">
      <c r="A4534">
        <f>MOD(4534-1,101)</f>
        <v>89</v>
      </c>
    </row>
    <row r="4535">
      <c r="A4535">
        <f>MOD(4535-1,101)</f>
        <v>90</v>
      </c>
    </row>
    <row r="4536">
      <c r="A4536">
        <f>MOD(4536-1,101)</f>
        <v>91</v>
      </c>
    </row>
    <row r="4537">
      <c r="A4537">
        <f>MOD(4537-1,101)</f>
        <v>92</v>
      </c>
    </row>
    <row r="4538">
      <c r="A4538">
        <f>MOD(4538-1,101)</f>
        <v>93</v>
      </c>
    </row>
    <row r="4539">
      <c r="A4539">
        <f>MOD(4539-1,101)</f>
        <v>94</v>
      </c>
    </row>
    <row r="4540">
      <c r="A4540">
        <f>MOD(4540-1,101)</f>
        <v>95</v>
      </c>
    </row>
    <row r="4541">
      <c r="A4541">
        <f>MOD(4541-1,101)</f>
        <v>96</v>
      </c>
    </row>
    <row r="4542">
      <c r="A4542">
        <f>MOD(4542-1,101)</f>
        <v>97</v>
      </c>
    </row>
    <row r="4543">
      <c r="A4543">
        <f>MOD(4543-1,101)</f>
        <v>98</v>
      </c>
    </row>
    <row r="4544">
      <c r="A4544">
        <f>MOD(4544-1,101)</f>
        <v>99</v>
      </c>
    </row>
    <row r="4545">
      <c r="A4545">
        <f>MOD(4545-1,101)</f>
        <v>100</v>
      </c>
    </row>
    <row r="4546">
      <c r="A4546">
        <f>MOD(4546-1,101)</f>
        <v>0</v>
      </c>
    </row>
    <row r="4547">
      <c r="A4547">
        <f>MOD(4547-1,101)</f>
        <v>1</v>
      </c>
    </row>
    <row r="4548">
      <c r="A4548">
        <f>MOD(4548-1,101)</f>
        <v>2</v>
      </c>
    </row>
    <row r="4549">
      <c r="A4549">
        <f>MOD(4549-1,101)</f>
        <v>3</v>
      </c>
    </row>
    <row r="4550">
      <c r="A4550">
        <f>MOD(4550-1,101)</f>
        <v>4</v>
      </c>
    </row>
    <row r="4551">
      <c r="A4551">
        <f>MOD(4551-1,101)</f>
        <v>5</v>
      </c>
    </row>
    <row r="4552">
      <c r="A4552">
        <f>MOD(4552-1,101)</f>
        <v>6</v>
      </c>
    </row>
    <row r="4553">
      <c r="A4553">
        <f>MOD(4553-1,101)</f>
        <v>7</v>
      </c>
    </row>
    <row r="4554">
      <c r="A4554">
        <f>MOD(4554-1,101)</f>
        <v>8</v>
      </c>
    </row>
    <row r="4555">
      <c r="A4555">
        <f>MOD(4555-1,101)</f>
        <v>9</v>
      </c>
    </row>
    <row r="4556">
      <c r="A4556">
        <f>MOD(4556-1,101)</f>
        <v>10</v>
      </c>
    </row>
    <row r="4557">
      <c r="A4557">
        <f>MOD(4557-1,101)</f>
        <v>11</v>
      </c>
    </row>
    <row r="4558">
      <c r="A4558">
        <f>MOD(4558-1,101)</f>
        <v>12</v>
      </c>
    </row>
    <row r="4559">
      <c r="A4559">
        <f>MOD(4559-1,101)</f>
        <v>13</v>
      </c>
    </row>
    <row r="4560">
      <c r="A4560">
        <f>MOD(4560-1,101)</f>
        <v>14</v>
      </c>
    </row>
    <row r="4561">
      <c r="A4561">
        <f>MOD(4561-1,101)</f>
        <v>15</v>
      </c>
    </row>
    <row r="4562">
      <c r="A4562">
        <f>MOD(4562-1,101)</f>
        <v>16</v>
      </c>
    </row>
    <row r="4563">
      <c r="A4563">
        <f>MOD(4563-1,101)</f>
        <v>17</v>
      </c>
    </row>
    <row r="4564">
      <c r="A4564">
        <f>MOD(4564-1,101)</f>
        <v>18</v>
      </c>
    </row>
    <row r="4565">
      <c r="A4565">
        <f>MOD(4565-1,101)</f>
        <v>19</v>
      </c>
    </row>
    <row r="4566">
      <c r="A4566">
        <f>MOD(4566-1,101)</f>
        <v>20</v>
      </c>
    </row>
    <row r="4567">
      <c r="A4567">
        <f>MOD(4567-1,101)</f>
        <v>21</v>
      </c>
    </row>
    <row r="4568">
      <c r="A4568">
        <f>MOD(4568-1,101)</f>
        <v>22</v>
      </c>
    </row>
    <row r="4569">
      <c r="A4569">
        <f>MOD(4569-1,101)</f>
        <v>23</v>
      </c>
    </row>
    <row r="4570">
      <c r="A4570">
        <f>MOD(4570-1,101)</f>
        <v>24</v>
      </c>
    </row>
    <row r="4571">
      <c r="A4571">
        <f>MOD(4571-1,101)</f>
        <v>25</v>
      </c>
    </row>
    <row r="4572">
      <c r="A4572">
        <f>MOD(4572-1,101)</f>
        <v>26</v>
      </c>
    </row>
    <row r="4573">
      <c r="A4573">
        <f>MOD(4573-1,101)</f>
        <v>27</v>
      </c>
    </row>
    <row r="4574">
      <c r="A4574">
        <f>MOD(4574-1,101)</f>
        <v>28</v>
      </c>
    </row>
    <row r="4575">
      <c r="A4575">
        <f>MOD(4575-1,101)</f>
        <v>29</v>
      </c>
    </row>
    <row r="4576">
      <c r="A4576">
        <f>MOD(4576-1,101)</f>
        <v>30</v>
      </c>
    </row>
    <row r="4577">
      <c r="A4577">
        <f>MOD(4577-1,101)</f>
        <v>31</v>
      </c>
    </row>
    <row r="4578">
      <c r="A4578">
        <f>MOD(4578-1,101)</f>
        <v>32</v>
      </c>
    </row>
    <row r="4579">
      <c r="A4579">
        <f>MOD(4579-1,101)</f>
        <v>33</v>
      </c>
    </row>
    <row r="4580">
      <c r="A4580">
        <f>MOD(4580-1,101)</f>
        <v>34</v>
      </c>
    </row>
    <row r="4581">
      <c r="A4581">
        <f>MOD(4581-1,101)</f>
        <v>35</v>
      </c>
    </row>
    <row r="4582">
      <c r="A4582">
        <f>MOD(4582-1,101)</f>
        <v>36</v>
      </c>
    </row>
    <row r="4583">
      <c r="A4583">
        <f>MOD(4583-1,101)</f>
        <v>37</v>
      </c>
    </row>
    <row r="4584">
      <c r="A4584">
        <f>MOD(4584-1,101)</f>
        <v>38</v>
      </c>
    </row>
    <row r="4585">
      <c r="A4585">
        <f>MOD(4585-1,101)</f>
        <v>39</v>
      </c>
    </row>
    <row r="4586">
      <c r="A4586">
        <f>MOD(4586-1,101)</f>
        <v>40</v>
      </c>
    </row>
    <row r="4587">
      <c r="A4587">
        <f>MOD(4587-1,101)</f>
        <v>41</v>
      </c>
    </row>
    <row r="4588">
      <c r="A4588">
        <f>MOD(4588-1,101)</f>
        <v>42</v>
      </c>
    </row>
    <row r="4589">
      <c r="A4589">
        <f>MOD(4589-1,101)</f>
        <v>43</v>
      </c>
    </row>
    <row r="4590">
      <c r="A4590">
        <f>MOD(4590-1,101)</f>
        <v>44</v>
      </c>
    </row>
    <row r="4591">
      <c r="A4591">
        <f>MOD(4591-1,101)</f>
        <v>45</v>
      </c>
    </row>
    <row r="4592">
      <c r="A4592">
        <f>MOD(4592-1,101)</f>
        <v>46</v>
      </c>
    </row>
    <row r="4593">
      <c r="A4593">
        <f>MOD(4593-1,101)</f>
        <v>47</v>
      </c>
    </row>
    <row r="4594">
      <c r="A4594">
        <f>MOD(4594-1,101)</f>
        <v>48</v>
      </c>
    </row>
    <row r="4595">
      <c r="A4595">
        <f>MOD(4595-1,101)</f>
        <v>49</v>
      </c>
    </row>
    <row r="4596">
      <c r="A4596">
        <f>MOD(4596-1,101)</f>
        <v>50</v>
      </c>
    </row>
    <row r="4597">
      <c r="A4597">
        <f>MOD(4597-1,101)</f>
        <v>51</v>
      </c>
    </row>
    <row r="4598">
      <c r="A4598">
        <f>MOD(4598-1,101)</f>
        <v>52</v>
      </c>
    </row>
    <row r="4599">
      <c r="A4599">
        <f>MOD(4599-1,101)</f>
        <v>53</v>
      </c>
    </row>
    <row r="4600">
      <c r="A4600">
        <f>MOD(4600-1,101)</f>
        <v>54</v>
      </c>
    </row>
    <row r="4601">
      <c r="A4601">
        <f>MOD(4601-1,101)</f>
        <v>55</v>
      </c>
    </row>
    <row r="4602">
      <c r="A4602">
        <f>MOD(4602-1,101)</f>
        <v>56</v>
      </c>
    </row>
    <row r="4603">
      <c r="A4603">
        <f>MOD(4603-1,101)</f>
        <v>57</v>
      </c>
    </row>
    <row r="4604">
      <c r="A4604">
        <f>MOD(4604-1,101)</f>
        <v>58</v>
      </c>
    </row>
    <row r="4605">
      <c r="A4605">
        <f>MOD(4605-1,101)</f>
        <v>59</v>
      </c>
    </row>
    <row r="4606">
      <c r="A4606">
        <f>MOD(4606-1,101)</f>
        <v>60</v>
      </c>
    </row>
    <row r="4607">
      <c r="A4607">
        <f>MOD(4607-1,101)</f>
        <v>61</v>
      </c>
    </row>
    <row r="4608">
      <c r="A4608">
        <f>MOD(4608-1,101)</f>
        <v>62</v>
      </c>
    </row>
    <row r="4609">
      <c r="A4609">
        <f>MOD(4609-1,101)</f>
        <v>63</v>
      </c>
    </row>
    <row r="4610">
      <c r="A4610">
        <f>MOD(4610-1,101)</f>
        <v>64</v>
      </c>
    </row>
    <row r="4611">
      <c r="A4611">
        <f>MOD(4611-1,101)</f>
        <v>65</v>
      </c>
    </row>
    <row r="4612">
      <c r="A4612">
        <f>MOD(4612-1,101)</f>
        <v>66</v>
      </c>
    </row>
    <row r="4613">
      <c r="A4613">
        <f>MOD(4613-1,101)</f>
        <v>67</v>
      </c>
    </row>
    <row r="4614">
      <c r="A4614">
        <f>MOD(4614-1,101)</f>
        <v>68</v>
      </c>
    </row>
    <row r="4615">
      <c r="A4615">
        <f>MOD(4615-1,101)</f>
        <v>69</v>
      </c>
    </row>
    <row r="4616">
      <c r="A4616">
        <f>MOD(4616-1,101)</f>
        <v>70</v>
      </c>
    </row>
    <row r="4617">
      <c r="A4617">
        <f>MOD(4617-1,101)</f>
        <v>71</v>
      </c>
    </row>
    <row r="4618">
      <c r="A4618">
        <f>MOD(4618-1,101)</f>
        <v>72</v>
      </c>
    </row>
    <row r="4619">
      <c r="A4619">
        <f>MOD(4619-1,101)</f>
        <v>73</v>
      </c>
    </row>
    <row r="4620">
      <c r="A4620">
        <f>MOD(4620-1,101)</f>
        <v>74</v>
      </c>
    </row>
    <row r="4621">
      <c r="A4621">
        <f>MOD(4621-1,101)</f>
        <v>75</v>
      </c>
    </row>
    <row r="4622">
      <c r="A4622">
        <f>MOD(4622-1,101)</f>
        <v>76</v>
      </c>
    </row>
    <row r="4623">
      <c r="A4623">
        <f>MOD(4623-1,101)</f>
        <v>77</v>
      </c>
    </row>
    <row r="4624">
      <c r="A4624">
        <f>MOD(4624-1,101)</f>
        <v>78</v>
      </c>
    </row>
    <row r="4625">
      <c r="A4625">
        <f>MOD(4625-1,101)</f>
        <v>79</v>
      </c>
    </row>
    <row r="4626">
      <c r="A4626">
        <f>MOD(4626-1,101)</f>
        <v>80</v>
      </c>
    </row>
    <row r="4627">
      <c r="A4627">
        <f>MOD(4627-1,101)</f>
        <v>81</v>
      </c>
    </row>
    <row r="4628">
      <c r="A4628">
        <f>MOD(4628-1,101)</f>
        <v>82</v>
      </c>
    </row>
    <row r="4629">
      <c r="A4629">
        <f>MOD(4629-1,101)</f>
        <v>83</v>
      </c>
    </row>
    <row r="4630">
      <c r="A4630">
        <f>MOD(4630-1,101)</f>
        <v>84</v>
      </c>
    </row>
    <row r="4631">
      <c r="A4631">
        <f>MOD(4631-1,101)</f>
        <v>85</v>
      </c>
    </row>
    <row r="4632">
      <c r="A4632">
        <f>MOD(4632-1,101)</f>
        <v>86</v>
      </c>
    </row>
    <row r="4633">
      <c r="A4633">
        <f>MOD(4633-1,101)</f>
        <v>87</v>
      </c>
    </row>
    <row r="4634">
      <c r="A4634">
        <f>MOD(4634-1,101)</f>
        <v>88</v>
      </c>
    </row>
    <row r="4635">
      <c r="A4635">
        <f>MOD(4635-1,101)</f>
        <v>89</v>
      </c>
    </row>
    <row r="4636">
      <c r="A4636">
        <f>MOD(4636-1,101)</f>
        <v>90</v>
      </c>
    </row>
    <row r="4637">
      <c r="A4637">
        <f>MOD(4637-1,101)</f>
        <v>91</v>
      </c>
    </row>
    <row r="4638">
      <c r="A4638">
        <f>MOD(4638-1,101)</f>
        <v>92</v>
      </c>
    </row>
    <row r="4639">
      <c r="A4639">
        <f>MOD(4639-1,101)</f>
        <v>93</v>
      </c>
    </row>
    <row r="4640">
      <c r="A4640">
        <f>MOD(4640-1,101)</f>
        <v>94</v>
      </c>
    </row>
    <row r="4641">
      <c r="A4641">
        <f>MOD(4641-1,101)</f>
        <v>95</v>
      </c>
    </row>
    <row r="4642">
      <c r="A4642">
        <f>MOD(4642-1,101)</f>
        <v>96</v>
      </c>
    </row>
    <row r="4643">
      <c r="A4643">
        <f>MOD(4643-1,101)</f>
        <v>97</v>
      </c>
    </row>
    <row r="4644">
      <c r="A4644">
        <f>MOD(4644-1,101)</f>
        <v>98</v>
      </c>
    </row>
    <row r="4645">
      <c r="A4645">
        <f>MOD(4645-1,101)</f>
        <v>99</v>
      </c>
    </row>
    <row r="4646">
      <c r="A4646">
        <f>MOD(4646-1,101)</f>
        <v>100</v>
      </c>
    </row>
    <row r="4647">
      <c r="A4647">
        <f>MOD(4647-1,101)</f>
        <v>0</v>
      </c>
    </row>
    <row r="4648">
      <c r="A4648">
        <f>MOD(4648-1,101)</f>
        <v>1</v>
      </c>
    </row>
    <row r="4649">
      <c r="A4649">
        <f>MOD(4649-1,101)</f>
        <v>2</v>
      </c>
    </row>
    <row r="4650">
      <c r="A4650">
        <f>MOD(4650-1,101)</f>
        <v>3</v>
      </c>
    </row>
    <row r="4651">
      <c r="A4651">
        <f>MOD(4651-1,101)</f>
        <v>4</v>
      </c>
    </row>
    <row r="4652">
      <c r="A4652">
        <f>MOD(4652-1,101)</f>
        <v>5</v>
      </c>
    </row>
    <row r="4653">
      <c r="A4653">
        <f>MOD(4653-1,101)</f>
        <v>6</v>
      </c>
    </row>
    <row r="4654">
      <c r="A4654">
        <f>MOD(4654-1,101)</f>
        <v>7</v>
      </c>
    </row>
    <row r="4655">
      <c r="A4655">
        <f>MOD(4655-1,101)</f>
        <v>8</v>
      </c>
    </row>
    <row r="4656">
      <c r="A4656">
        <f>MOD(4656-1,101)</f>
        <v>9</v>
      </c>
    </row>
    <row r="4657">
      <c r="A4657">
        <f>MOD(4657-1,101)</f>
        <v>10</v>
      </c>
    </row>
    <row r="4658">
      <c r="A4658">
        <f>MOD(4658-1,101)</f>
        <v>11</v>
      </c>
    </row>
    <row r="4659">
      <c r="A4659">
        <f>MOD(4659-1,101)</f>
        <v>12</v>
      </c>
    </row>
    <row r="4660">
      <c r="A4660">
        <f>MOD(4660-1,101)</f>
        <v>13</v>
      </c>
    </row>
    <row r="4661">
      <c r="A4661">
        <f>MOD(4661-1,101)</f>
        <v>14</v>
      </c>
    </row>
    <row r="4662">
      <c r="A4662">
        <f>MOD(4662-1,101)</f>
        <v>15</v>
      </c>
    </row>
    <row r="4663">
      <c r="A4663">
        <f>MOD(4663-1,101)</f>
        <v>16</v>
      </c>
    </row>
    <row r="4664">
      <c r="A4664">
        <f>MOD(4664-1,101)</f>
        <v>17</v>
      </c>
    </row>
    <row r="4665">
      <c r="A4665">
        <f>MOD(4665-1,101)</f>
        <v>18</v>
      </c>
    </row>
    <row r="4666">
      <c r="A4666">
        <f>MOD(4666-1,101)</f>
        <v>19</v>
      </c>
    </row>
    <row r="4667">
      <c r="A4667">
        <f>MOD(4667-1,101)</f>
        <v>20</v>
      </c>
    </row>
    <row r="4668">
      <c r="A4668">
        <f>MOD(4668-1,101)</f>
        <v>21</v>
      </c>
    </row>
    <row r="4669">
      <c r="A4669">
        <f>MOD(4669-1,101)</f>
        <v>22</v>
      </c>
    </row>
    <row r="4670">
      <c r="A4670">
        <f>MOD(4670-1,101)</f>
        <v>23</v>
      </c>
    </row>
    <row r="4671">
      <c r="A4671">
        <f>MOD(4671-1,101)</f>
        <v>24</v>
      </c>
    </row>
    <row r="4672">
      <c r="A4672">
        <f>MOD(4672-1,101)</f>
        <v>25</v>
      </c>
    </row>
    <row r="4673">
      <c r="A4673">
        <f>MOD(4673-1,101)</f>
        <v>26</v>
      </c>
    </row>
    <row r="4674">
      <c r="A4674">
        <f>MOD(4674-1,101)</f>
        <v>27</v>
      </c>
    </row>
    <row r="4675">
      <c r="A4675">
        <f>MOD(4675-1,101)</f>
        <v>28</v>
      </c>
    </row>
    <row r="4676">
      <c r="A4676">
        <f>MOD(4676-1,101)</f>
        <v>29</v>
      </c>
    </row>
    <row r="4677">
      <c r="A4677">
        <f>MOD(4677-1,101)</f>
        <v>30</v>
      </c>
    </row>
    <row r="4678">
      <c r="A4678">
        <f>MOD(4678-1,101)</f>
        <v>31</v>
      </c>
    </row>
    <row r="4679">
      <c r="A4679">
        <f>MOD(4679-1,101)</f>
        <v>32</v>
      </c>
    </row>
    <row r="4680">
      <c r="A4680">
        <f>MOD(4680-1,101)</f>
        <v>33</v>
      </c>
    </row>
    <row r="4681">
      <c r="A4681">
        <f>MOD(4681-1,101)</f>
        <v>34</v>
      </c>
    </row>
    <row r="4682">
      <c r="A4682">
        <f>MOD(4682-1,101)</f>
        <v>35</v>
      </c>
    </row>
    <row r="4683">
      <c r="A4683">
        <f>MOD(4683-1,101)</f>
        <v>36</v>
      </c>
    </row>
    <row r="4684">
      <c r="A4684">
        <f>MOD(4684-1,101)</f>
        <v>37</v>
      </c>
    </row>
    <row r="4685">
      <c r="A4685">
        <f>MOD(4685-1,101)</f>
        <v>38</v>
      </c>
    </row>
    <row r="4686">
      <c r="A4686">
        <f>MOD(4686-1,101)</f>
        <v>39</v>
      </c>
    </row>
    <row r="4687">
      <c r="A4687">
        <f>MOD(4687-1,101)</f>
        <v>40</v>
      </c>
    </row>
    <row r="4688">
      <c r="A4688">
        <f>MOD(4688-1,101)</f>
        <v>41</v>
      </c>
    </row>
    <row r="4689">
      <c r="A4689">
        <f>MOD(4689-1,101)</f>
        <v>42</v>
      </c>
    </row>
    <row r="4690">
      <c r="A4690">
        <f>MOD(4690-1,101)</f>
        <v>43</v>
      </c>
    </row>
    <row r="4691">
      <c r="A4691">
        <f>MOD(4691-1,101)</f>
        <v>44</v>
      </c>
    </row>
    <row r="4692">
      <c r="A4692">
        <f>MOD(4692-1,101)</f>
        <v>45</v>
      </c>
    </row>
    <row r="4693">
      <c r="A4693">
        <f>MOD(4693-1,101)</f>
        <v>46</v>
      </c>
    </row>
    <row r="4694">
      <c r="A4694">
        <f>MOD(4694-1,101)</f>
        <v>47</v>
      </c>
    </row>
    <row r="4695">
      <c r="A4695">
        <f>MOD(4695-1,101)</f>
        <v>48</v>
      </c>
    </row>
    <row r="4696">
      <c r="A4696">
        <f>MOD(4696-1,101)</f>
        <v>49</v>
      </c>
    </row>
    <row r="4697">
      <c r="A4697">
        <f>MOD(4697-1,101)</f>
        <v>50</v>
      </c>
    </row>
    <row r="4698">
      <c r="A4698">
        <f>MOD(4698-1,101)</f>
        <v>51</v>
      </c>
    </row>
    <row r="4699">
      <c r="A4699">
        <f>MOD(4699-1,101)</f>
        <v>52</v>
      </c>
    </row>
    <row r="4700">
      <c r="A4700">
        <f>MOD(4700-1,101)</f>
        <v>53</v>
      </c>
    </row>
    <row r="4701">
      <c r="A4701">
        <f>MOD(4701-1,101)</f>
        <v>54</v>
      </c>
    </row>
    <row r="4702">
      <c r="A4702">
        <f>MOD(4702-1,101)</f>
        <v>55</v>
      </c>
    </row>
    <row r="4703">
      <c r="A4703">
        <f>MOD(4703-1,101)</f>
        <v>56</v>
      </c>
    </row>
    <row r="4704">
      <c r="A4704">
        <f>MOD(4704-1,101)</f>
        <v>57</v>
      </c>
    </row>
    <row r="4705">
      <c r="A4705">
        <f>MOD(4705-1,101)</f>
        <v>58</v>
      </c>
    </row>
    <row r="4706">
      <c r="A4706">
        <f>MOD(4706-1,101)</f>
        <v>59</v>
      </c>
    </row>
    <row r="4707">
      <c r="A4707">
        <f>MOD(4707-1,101)</f>
        <v>60</v>
      </c>
    </row>
    <row r="4708">
      <c r="A4708">
        <f>MOD(4708-1,101)</f>
        <v>61</v>
      </c>
    </row>
    <row r="4709">
      <c r="A4709">
        <f>MOD(4709-1,101)</f>
        <v>62</v>
      </c>
    </row>
    <row r="4710">
      <c r="A4710">
        <f>MOD(4710-1,101)</f>
        <v>63</v>
      </c>
    </row>
    <row r="4711">
      <c r="A4711">
        <f>MOD(4711-1,101)</f>
        <v>64</v>
      </c>
    </row>
    <row r="4712">
      <c r="A4712">
        <f>MOD(4712-1,101)</f>
        <v>65</v>
      </c>
    </row>
    <row r="4713">
      <c r="A4713">
        <f>MOD(4713-1,101)</f>
        <v>66</v>
      </c>
    </row>
    <row r="4714">
      <c r="A4714">
        <f>MOD(4714-1,101)</f>
        <v>67</v>
      </c>
    </row>
    <row r="4715">
      <c r="A4715">
        <f>MOD(4715-1,101)</f>
        <v>68</v>
      </c>
    </row>
    <row r="4716">
      <c r="A4716">
        <f>MOD(4716-1,101)</f>
        <v>69</v>
      </c>
    </row>
    <row r="4717">
      <c r="A4717">
        <f>MOD(4717-1,101)</f>
        <v>70</v>
      </c>
    </row>
    <row r="4718">
      <c r="A4718">
        <f>MOD(4718-1,101)</f>
        <v>71</v>
      </c>
    </row>
    <row r="4719">
      <c r="A4719">
        <f>MOD(4719-1,101)</f>
        <v>72</v>
      </c>
    </row>
    <row r="4720">
      <c r="A4720">
        <f>MOD(4720-1,101)</f>
        <v>73</v>
      </c>
    </row>
    <row r="4721">
      <c r="A4721">
        <f>MOD(4721-1,101)</f>
        <v>74</v>
      </c>
    </row>
    <row r="4722">
      <c r="A4722">
        <f>MOD(4722-1,101)</f>
        <v>75</v>
      </c>
    </row>
    <row r="4723">
      <c r="A4723">
        <f>MOD(4723-1,101)</f>
        <v>76</v>
      </c>
    </row>
    <row r="4724">
      <c r="A4724">
        <f>MOD(4724-1,101)</f>
        <v>77</v>
      </c>
    </row>
    <row r="4725">
      <c r="A4725">
        <f>MOD(4725-1,101)</f>
        <v>78</v>
      </c>
    </row>
    <row r="4726">
      <c r="A4726">
        <f>MOD(4726-1,101)</f>
        <v>79</v>
      </c>
    </row>
    <row r="4727">
      <c r="A4727">
        <f>MOD(4727-1,101)</f>
        <v>80</v>
      </c>
    </row>
    <row r="4728">
      <c r="A4728">
        <f>MOD(4728-1,101)</f>
        <v>81</v>
      </c>
    </row>
    <row r="4729">
      <c r="A4729">
        <f>MOD(4729-1,101)</f>
        <v>82</v>
      </c>
    </row>
    <row r="4730">
      <c r="A4730">
        <f>MOD(4730-1,101)</f>
        <v>83</v>
      </c>
    </row>
    <row r="4731">
      <c r="A4731">
        <f>MOD(4731-1,101)</f>
        <v>84</v>
      </c>
    </row>
    <row r="4732">
      <c r="A4732">
        <f>MOD(4732-1,101)</f>
        <v>85</v>
      </c>
    </row>
    <row r="4733">
      <c r="A4733">
        <f>MOD(4733-1,101)</f>
        <v>86</v>
      </c>
    </row>
    <row r="4734">
      <c r="A4734">
        <f>MOD(4734-1,101)</f>
        <v>87</v>
      </c>
    </row>
    <row r="4735">
      <c r="A4735">
        <f>MOD(4735-1,101)</f>
        <v>88</v>
      </c>
    </row>
    <row r="4736">
      <c r="A4736">
        <f>MOD(4736-1,101)</f>
        <v>89</v>
      </c>
    </row>
    <row r="4737">
      <c r="A4737">
        <f>MOD(4737-1,101)</f>
        <v>90</v>
      </c>
    </row>
    <row r="4738">
      <c r="A4738">
        <f>MOD(4738-1,101)</f>
        <v>91</v>
      </c>
    </row>
    <row r="4739">
      <c r="A4739">
        <f>MOD(4739-1,101)</f>
        <v>92</v>
      </c>
    </row>
    <row r="4740">
      <c r="A4740">
        <f>MOD(4740-1,101)</f>
        <v>93</v>
      </c>
    </row>
    <row r="4741">
      <c r="A4741">
        <f>MOD(4741-1,101)</f>
        <v>94</v>
      </c>
    </row>
    <row r="4742">
      <c r="A4742">
        <f>MOD(4742-1,101)</f>
        <v>95</v>
      </c>
    </row>
    <row r="4743">
      <c r="A4743">
        <f>MOD(4743-1,101)</f>
        <v>96</v>
      </c>
    </row>
    <row r="4744">
      <c r="A4744">
        <f>MOD(4744-1,101)</f>
        <v>97</v>
      </c>
    </row>
    <row r="4745">
      <c r="A4745">
        <f>MOD(4745-1,101)</f>
        <v>98</v>
      </c>
    </row>
    <row r="4746">
      <c r="A4746">
        <f>MOD(4746-1,101)</f>
        <v>99</v>
      </c>
    </row>
    <row r="4747">
      <c r="A4747">
        <f>MOD(4747-1,101)</f>
        <v>100</v>
      </c>
    </row>
    <row r="4748">
      <c r="A4748">
        <f>MOD(4748-1,101)</f>
        <v>0</v>
      </c>
    </row>
    <row r="4749">
      <c r="A4749">
        <f>MOD(4749-1,101)</f>
        <v>1</v>
      </c>
    </row>
    <row r="4750">
      <c r="A4750">
        <f>MOD(4750-1,101)</f>
        <v>2</v>
      </c>
    </row>
    <row r="4751">
      <c r="A4751">
        <f>MOD(4751-1,101)</f>
        <v>3</v>
      </c>
    </row>
    <row r="4752">
      <c r="A4752">
        <f>MOD(4752-1,101)</f>
        <v>4</v>
      </c>
    </row>
    <row r="4753">
      <c r="A4753">
        <f>MOD(4753-1,101)</f>
        <v>5</v>
      </c>
    </row>
    <row r="4754">
      <c r="A4754">
        <f>MOD(4754-1,101)</f>
        <v>6</v>
      </c>
    </row>
    <row r="4755">
      <c r="A4755">
        <f>MOD(4755-1,101)</f>
        <v>7</v>
      </c>
    </row>
    <row r="4756">
      <c r="A4756">
        <f>MOD(4756-1,101)</f>
        <v>8</v>
      </c>
    </row>
    <row r="4757">
      <c r="A4757">
        <f>MOD(4757-1,101)</f>
        <v>9</v>
      </c>
    </row>
    <row r="4758">
      <c r="A4758">
        <f>MOD(4758-1,101)</f>
        <v>10</v>
      </c>
    </row>
    <row r="4759">
      <c r="A4759">
        <f>MOD(4759-1,101)</f>
        <v>11</v>
      </c>
    </row>
    <row r="4760">
      <c r="A4760">
        <f>MOD(4760-1,101)</f>
        <v>12</v>
      </c>
    </row>
    <row r="4761">
      <c r="A4761">
        <f>MOD(4761-1,101)</f>
        <v>13</v>
      </c>
    </row>
    <row r="4762">
      <c r="A4762">
        <f>MOD(4762-1,101)</f>
        <v>14</v>
      </c>
    </row>
    <row r="4763">
      <c r="A4763">
        <f>MOD(4763-1,101)</f>
        <v>15</v>
      </c>
    </row>
    <row r="4764">
      <c r="A4764">
        <f>MOD(4764-1,101)</f>
        <v>16</v>
      </c>
    </row>
    <row r="4765">
      <c r="A4765">
        <f>MOD(4765-1,101)</f>
        <v>17</v>
      </c>
    </row>
    <row r="4766">
      <c r="A4766">
        <f>MOD(4766-1,101)</f>
        <v>18</v>
      </c>
    </row>
    <row r="4767">
      <c r="A4767">
        <f>MOD(4767-1,101)</f>
        <v>19</v>
      </c>
    </row>
    <row r="4768">
      <c r="A4768">
        <f>MOD(4768-1,101)</f>
        <v>20</v>
      </c>
    </row>
    <row r="4769">
      <c r="A4769">
        <f>MOD(4769-1,101)</f>
        <v>21</v>
      </c>
    </row>
    <row r="4770">
      <c r="A4770">
        <f>MOD(4770-1,101)</f>
        <v>22</v>
      </c>
    </row>
    <row r="4771">
      <c r="A4771">
        <f>MOD(4771-1,101)</f>
        <v>23</v>
      </c>
    </row>
    <row r="4772">
      <c r="A4772">
        <f>MOD(4772-1,101)</f>
        <v>24</v>
      </c>
    </row>
    <row r="4773">
      <c r="A4773">
        <f>MOD(4773-1,101)</f>
        <v>25</v>
      </c>
    </row>
    <row r="4774">
      <c r="A4774">
        <f>MOD(4774-1,101)</f>
        <v>26</v>
      </c>
    </row>
    <row r="4775">
      <c r="A4775">
        <f>MOD(4775-1,101)</f>
        <v>27</v>
      </c>
    </row>
    <row r="4776">
      <c r="A4776">
        <f>MOD(4776-1,101)</f>
        <v>28</v>
      </c>
    </row>
    <row r="4777">
      <c r="A4777">
        <f>MOD(4777-1,101)</f>
        <v>29</v>
      </c>
    </row>
    <row r="4778">
      <c r="A4778">
        <f>MOD(4778-1,101)</f>
        <v>30</v>
      </c>
    </row>
    <row r="4779">
      <c r="A4779">
        <f>MOD(4779-1,101)</f>
        <v>31</v>
      </c>
    </row>
    <row r="4780">
      <c r="A4780">
        <f>MOD(4780-1,101)</f>
        <v>32</v>
      </c>
    </row>
    <row r="4781">
      <c r="A4781">
        <f>MOD(4781-1,101)</f>
        <v>33</v>
      </c>
    </row>
    <row r="4782">
      <c r="A4782">
        <f>MOD(4782-1,101)</f>
        <v>34</v>
      </c>
    </row>
    <row r="4783">
      <c r="A4783">
        <f>MOD(4783-1,101)</f>
        <v>35</v>
      </c>
    </row>
    <row r="4784">
      <c r="A4784">
        <f>MOD(4784-1,101)</f>
        <v>36</v>
      </c>
    </row>
    <row r="4785">
      <c r="A4785">
        <f>MOD(4785-1,101)</f>
        <v>37</v>
      </c>
    </row>
    <row r="4786">
      <c r="A4786">
        <f>MOD(4786-1,101)</f>
        <v>38</v>
      </c>
    </row>
    <row r="4787">
      <c r="A4787">
        <f>MOD(4787-1,101)</f>
        <v>39</v>
      </c>
    </row>
    <row r="4788">
      <c r="A4788">
        <f>MOD(4788-1,101)</f>
        <v>40</v>
      </c>
    </row>
    <row r="4789">
      <c r="A4789">
        <f>MOD(4789-1,101)</f>
        <v>41</v>
      </c>
    </row>
    <row r="4790">
      <c r="A4790">
        <f>MOD(4790-1,101)</f>
        <v>42</v>
      </c>
    </row>
    <row r="4791">
      <c r="A4791">
        <f>MOD(4791-1,101)</f>
        <v>43</v>
      </c>
    </row>
    <row r="4792">
      <c r="A4792">
        <f>MOD(4792-1,101)</f>
        <v>44</v>
      </c>
    </row>
    <row r="4793">
      <c r="A4793">
        <f>MOD(4793-1,101)</f>
        <v>45</v>
      </c>
    </row>
    <row r="4794">
      <c r="A4794">
        <f>MOD(4794-1,101)</f>
        <v>46</v>
      </c>
    </row>
    <row r="4795">
      <c r="A4795">
        <f>MOD(4795-1,101)</f>
        <v>47</v>
      </c>
    </row>
    <row r="4796">
      <c r="A4796">
        <f>MOD(4796-1,101)</f>
        <v>48</v>
      </c>
    </row>
    <row r="4797">
      <c r="A4797">
        <f>MOD(4797-1,101)</f>
        <v>49</v>
      </c>
    </row>
    <row r="4798">
      <c r="A4798">
        <f>MOD(4798-1,101)</f>
        <v>50</v>
      </c>
    </row>
    <row r="4799">
      <c r="A4799">
        <f>MOD(4799-1,101)</f>
        <v>51</v>
      </c>
    </row>
    <row r="4800">
      <c r="A4800">
        <f>MOD(4800-1,101)</f>
        <v>52</v>
      </c>
    </row>
    <row r="4801">
      <c r="A4801">
        <f>MOD(4801-1,101)</f>
        <v>53</v>
      </c>
    </row>
    <row r="4802">
      <c r="A4802">
        <f>MOD(4802-1,101)</f>
        <v>54</v>
      </c>
    </row>
    <row r="4803">
      <c r="A4803">
        <f>MOD(4803-1,101)</f>
        <v>55</v>
      </c>
    </row>
    <row r="4804">
      <c r="A4804">
        <f>MOD(4804-1,101)</f>
        <v>56</v>
      </c>
    </row>
    <row r="4805">
      <c r="A4805">
        <f>MOD(4805-1,101)</f>
        <v>57</v>
      </c>
    </row>
    <row r="4806">
      <c r="A4806">
        <f>MOD(4806-1,101)</f>
        <v>58</v>
      </c>
    </row>
    <row r="4807">
      <c r="A4807">
        <f>MOD(4807-1,101)</f>
        <v>59</v>
      </c>
    </row>
    <row r="4808">
      <c r="A4808">
        <f>MOD(4808-1,101)</f>
        <v>60</v>
      </c>
    </row>
    <row r="4809">
      <c r="A4809">
        <f>MOD(4809-1,101)</f>
        <v>61</v>
      </c>
    </row>
    <row r="4810">
      <c r="A4810">
        <f>MOD(4810-1,101)</f>
        <v>62</v>
      </c>
    </row>
    <row r="4811">
      <c r="A4811">
        <f>MOD(4811-1,101)</f>
        <v>63</v>
      </c>
    </row>
    <row r="4812">
      <c r="A4812">
        <f>MOD(4812-1,101)</f>
        <v>64</v>
      </c>
    </row>
    <row r="4813">
      <c r="A4813">
        <f>MOD(4813-1,101)</f>
        <v>65</v>
      </c>
    </row>
    <row r="4814">
      <c r="A4814">
        <f>MOD(4814-1,101)</f>
        <v>66</v>
      </c>
    </row>
    <row r="4815">
      <c r="A4815">
        <f>MOD(4815-1,101)</f>
        <v>67</v>
      </c>
    </row>
    <row r="4816">
      <c r="A4816">
        <f>MOD(4816-1,101)</f>
        <v>68</v>
      </c>
    </row>
    <row r="4817">
      <c r="A4817">
        <f>MOD(4817-1,101)</f>
        <v>69</v>
      </c>
    </row>
    <row r="4818">
      <c r="A4818">
        <f>MOD(4818-1,101)</f>
        <v>70</v>
      </c>
    </row>
    <row r="4819">
      <c r="A4819">
        <f>MOD(4819-1,101)</f>
        <v>71</v>
      </c>
    </row>
    <row r="4820">
      <c r="A4820">
        <f>MOD(4820-1,101)</f>
        <v>72</v>
      </c>
    </row>
    <row r="4821">
      <c r="A4821">
        <f>MOD(4821-1,101)</f>
        <v>73</v>
      </c>
    </row>
    <row r="4822">
      <c r="A4822">
        <f>MOD(4822-1,101)</f>
        <v>74</v>
      </c>
    </row>
    <row r="4823">
      <c r="A4823">
        <f>MOD(4823-1,101)</f>
        <v>75</v>
      </c>
    </row>
    <row r="4824">
      <c r="A4824">
        <f>MOD(4824-1,101)</f>
        <v>76</v>
      </c>
    </row>
    <row r="4825">
      <c r="A4825">
        <f>MOD(4825-1,101)</f>
        <v>77</v>
      </c>
    </row>
    <row r="4826">
      <c r="A4826">
        <f>MOD(4826-1,101)</f>
        <v>78</v>
      </c>
    </row>
    <row r="4827">
      <c r="A4827">
        <f>MOD(4827-1,101)</f>
        <v>79</v>
      </c>
    </row>
    <row r="4828">
      <c r="A4828">
        <f>MOD(4828-1,101)</f>
        <v>80</v>
      </c>
    </row>
    <row r="4829">
      <c r="A4829">
        <f>MOD(4829-1,101)</f>
        <v>81</v>
      </c>
    </row>
    <row r="4830">
      <c r="A4830">
        <f>MOD(4830-1,101)</f>
        <v>82</v>
      </c>
    </row>
    <row r="4831">
      <c r="A4831">
        <f>MOD(4831-1,101)</f>
        <v>83</v>
      </c>
    </row>
    <row r="4832">
      <c r="A4832">
        <f>MOD(4832-1,101)</f>
        <v>84</v>
      </c>
    </row>
    <row r="4833">
      <c r="A4833">
        <f>MOD(4833-1,101)</f>
        <v>85</v>
      </c>
    </row>
    <row r="4834">
      <c r="A4834">
        <f>MOD(4834-1,101)</f>
        <v>86</v>
      </c>
    </row>
    <row r="4835">
      <c r="A4835">
        <f>MOD(4835-1,101)</f>
        <v>87</v>
      </c>
    </row>
    <row r="4836">
      <c r="A4836">
        <f>MOD(4836-1,101)</f>
        <v>88</v>
      </c>
    </row>
    <row r="4837">
      <c r="A4837">
        <f>MOD(4837-1,101)</f>
        <v>89</v>
      </c>
    </row>
    <row r="4838">
      <c r="A4838">
        <f>MOD(4838-1,101)</f>
        <v>90</v>
      </c>
    </row>
    <row r="4839">
      <c r="A4839">
        <f>MOD(4839-1,101)</f>
        <v>91</v>
      </c>
    </row>
    <row r="4840">
      <c r="A4840">
        <f>MOD(4840-1,101)</f>
        <v>92</v>
      </c>
    </row>
    <row r="4841">
      <c r="A4841">
        <f>MOD(4841-1,101)</f>
        <v>93</v>
      </c>
    </row>
    <row r="4842">
      <c r="A4842">
        <f>MOD(4842-1,101)</f>
        <v>94</v>
      </c>
    </row>
    <row r="4843">
      <c r="A4843">
        <f>MOD(4843-1,101)</f>
        <v>95</v>
      </c>
    </row>
    <row r="4844">
      <c r="A4844">
        <f>MOD(4844-1,101)</f>
        <v>96</v>
      </c>
    </row>
    <row r="4845">
      <c r="A4845">
        <f>MOD(4845-1,101)</f>
        <v>97</v>
      </c>
    </row>
    <row r="4846">
      <c r="A4846">
        <f>MOD(4846-1,101)</f>
        <v>98</v>
      </c>
    </row>
    <row r="4847">
      <c r="A4847">
        <f>MOD(4847-1,101)</f>
        <v>99</v>
      </c>
    </row>
    <row r="4848">
      <c r="A4848">
        <f>MOD(4848-1,101)</f>
        <v>100</v>
      </c>
    </row>
    <row r="4849">
      <c r="A4849">
        <f>MOD(4849-1,101)</f>
        <v>0</v>
      </c>
    </row>
    <row r="4850">
      <c r="A4850">
        <f>MOD(4850-1,101)</f>
        <v>1</v>
      </c>
    </row>
    <row r="4851">
      <c r="A4851">
        <f>MOD(4851-1,101)</f>
        <v>2</v>
      </c>
    </row>
    <row r="4852">
      <c r="A4852">
        <f>MOD(4852-1,101)</f>
        <v>3</v>
      </c>
    </row>
    <row r="4853">
      <c r="A4853">
        <f>MOD(4853-1,101)</f>
        <v>4</v>
      </c>
    </row>
    <row r="4854">
      <c r="A4854">
        <f>MOD(4854-1,101)</f>
        <v>5</v>
      </c>
    </row>
    <row r="4855">
      <c r="A4855">
        <f>MOD(4855-1,101)</f>
        <v>6</v>
      </c>
    </row>
    <row r="4856">
      <c r="A4856">
        <f>MOD(4856-1,101)</f>
        <v>7</v>
      </c>
    </row>
    <row r="4857">
      <c r="A4857">
        <f>MOD(4857-1,101)</f>
        <v>8</v>
      </c>
    </row>
    <row r="4858">
      <c r="A4858">
        <f>MOD(4858-1,101)</f>
        <v>9</v>
      </c>
    </row>
    <row r="4859">
      <c r="A4859">
        <f>MOD(4859-1,101)</f>
        <v>10</v>
      </c>
    </row>
    <row r="4860">
      <c r="A4860">
        <f>MOD(4860-1,101)</f>
        <v>11</v>
      </c>
    </row>
    <row r="4861">
      <c r="A4861">
        <f>MOD(4861-1,101)</f>
        <v>12</v>
      </c>
    </row>
    <row r="4862">
      <c r="A4862">
        <f>MOD(4862-1,101)</f>
        <v>13</v>
      </c>
    </row>
    <row r="4863">
      <c r="A4863">
        <f>MOD(4863-1,101)</f>
        <v>14</v>
      </c>
    </row>
    <row r="4864">
      <c r="A4864">
        <f>MOD(4864-1,101)</f>
        <v>15</v>
      </c>
    </row>
    <row r="4865">
      <c r="A4865">
        <f>MOD(4865-1,101)</f>
        <v>16</v>
      </c>
    </row>
    <row r="4866">
      <c r="A4866">
        <f>MOD(4866-1,101)</f>
        <v>17</v>
      </c>
    </row>
    <row r="4867">
      <c r="A4867">
        <f>MOD(4867-1,101)</f>
        <v>18</v>
      </c>
    </row>
    <row r="4868">
      <c r="A4868">
        <f>MOD(4868-1,101)</f>
        <v>19</v>
      </c>
    </row>
    <row r="4869">
      <c r="A4869">
        <f>MOD(4869-1,101)</f>
        <v>20</v>
      </c>
    </row>
    <row r="4870">
      <c r="A4870">
        <f>MOD(4870-1,101)</f>
        <v>21</v>
      </c>
    </row>
    <row r="4871">
      <c r="A4871">
        <f>MOD(4871-1,101)</f>
        <v>22</v>
      </c>
    </row>
    <row r="4872">
      <c r="A4872">
        <f>MOD(4872-1,101)</f>
        <v>23</v>
      </c>
    </row>
    <row r="4873">
      <c r="A4873">
        <f>MOD(4873-1,101)</f>
        <v>24</v>
      </c>
    </row>
    <row r="4874">
      <c r="A4874">
        <f>MOD(4874-1,101)</f>
        <v>25</v>
      </c>
    </row>
    <row r="4875">
      <c r="A4875">
        <f>MOD(4875-1,101)</f>
        <v>26</v>
      </c>
    </row>
    <row r="4876">
      <c r="A4876">
        <f>MOD(4876-1,101)</f>
        <v>27</v>
      </c>
    </row>
    <row r="4877">
      <c r="A4877">
        <f>MOD(4877-1,101)</f>
        <v>28</v>
      </c>
    </row>
    <row r="4878">
      <c r="A4878">
        <f>MOD(4878-1,101)</f>
        <v>29</v>
      </c>
    </row>
    <row r="4879">
      <c r="A4879">
        <f>MOD(4879-1,101)</f>
        <v>30</v>
      </c>
    </row>
    <row r="4880">
      <c r="A4880">
        <f>MOD(4880-1,101)</f>
        <v>31</v>
      </c>
    </row>
    <row r="4881">
      <c r="A4881">
        <f>MOD(4881-1,101)</f>
        <v>32</v>
      </c>
    </row>
    <row r="4882">
      <c r="A4882">
        <f>MOD(4882-1,101)</f>
        <v>33</v>
      </c>
    </row>
    <row r="4883">
      <c r="A4883">
        <f>MOD(4883-1,101)</f>
        <v>34</v>
      </c>
    </row>
    <row r="4884">
      <c r="A4884">
        <f>MOD(4884-1,101)</f>
        <v>35</v>
      </c>
    </row>
    <row r="4885">
      <c r="A4885">
        <f>MOD(4885-1,101)</f>
        <v>36</v>
      </c>
    </row>
    <row r="4886">
      <c r="A4886">
        <f>MOD(4886-1,101)</f>
        <v>37</v>
      </c>
    </row>
    <row r="4887">
      <c r="A4887">
        <f>MOD(4887-1,101)</f>
        <v>38</v>
      </c>
    </row>
    <row r="4888">
      <c r="A4888">
        <f>MOD(4888-1,101)</f>
        <v>39</v>
      </c>
    </row>
    <row r="4889">
      <c r="A4889">
        <f>MOD(4889-1,101)</f>
        <v>40</v>
      </c>
    </row>
    <row r="4890">
      <c r="A4890">
        <f>MOD(4890-1,101)</f>
        <v>41</v>
      </c>
    </row>
    <row r="4891">
      <c r="A4891">
        <f>MOD(4891-1,101)</f>
        <v>42</v>
      </c>
    </row>
    <row r="4892">
      <c r="A4892">
        <f>MOD(4892-1,101)</f>
        <v>43</v>
      </c>
    </row>
    <row r="4893">
      <c r="A4893">
        <f>MOD(4893-1,101)</f>
        <v>44</v>
      </c>
    </row>
    <row r="4894">
      <c r="A4894">
        <f>MOD(4894-1,101)</f>
        <v>45</v>
      </c>
    </row>
    <row r="4895">
      <c r="A4895">
        <f>MOD(4895-1,101)</f>
        <v>46</v>
      </c>
    </row>
    <row r="4896">
      <c r="A4896">
        <f>MOD(4896-1,101)</f>
        <v>47</v>
      </c>
    </row>
    <row r="4897">
      <c r="A4897">
        <f>MOD(4897-1,101)</f>
        <v>48</v>
      </c>
    </row>
    <row r="4898">
      <c r="A4898">
        <f>MOD(4898-1,101)</f>
        <v>49</v>
      </c>
    </row>
    <row r="4899">
      <c r="A4899">
        <f>MOD(4899-1,101)</f>
        <v>50</v>
      </c>
    </row>
    <row r="4900">
      <c r="A4900">
        <f>MOD(4900-1,101)</f>
        <v>51</v>
      </c>
    </row>
    <row r="4901">
      <c r="A4901">
        <f>MOD(4901-1,101)</f>
        <v>52</v>
      </c>
    </row>
    <row r="4902">
      <c r="A4902">
        <f>MOD(4902-1,101)</f>
        <v>53</v>
      </c>
    </row>
    <row r="4903">
      <c r="A4903">
        <f>MOD(4903-1,101)</f>
        <v>54</v>
      </c>
    </row>
    <row r="4904">
      <c r="A4904">
        <f>MOD(4904-1,101)</f>
        <v>55</v>
      </c>
    </row>
    <row r="4905">
      <c r="A4905">
        <f>MOD(4905-1,101)</f>
        <v>56</v>
      </c>
    </row>
    <row r="4906">
      <c r="A4906">
        <f>MOD(4906-1,101)</f>
        <v>57</v>
      </c>
    </row>
    <row r="4907">
      <c r="A4907">
        <f>MOD(4907-1,101)</f>
        <v>58</v>
      </c>
    </row>
    <row r="4908">
      <c r="A4908">
        <f>MOD(4908-1,101)</f>
        <v>59</v>
      </c>
    </row>
    <row r="4909">
      <c r="A4909">
        <f>MOD(4909-1,101)</f>
        <v>60</v>
      </c>
    </row>
    <row r="4910">
      <c r="A4910">
        <f>MOD(4910-1,101)</f>
        <v>61</v>
      </c>
    </row>
    <row r="4911">
      <c r="A4911">
        <f>MOD(4911-1,101)</f>
        <v>62</v>
      </c>
    </row>
    <row r="4912">
      <c r="A4912">
        <f>MOD(4912-1,101)</f>
        <v>63</v>
      </c>
    </row>
    <row r="4913">
      <c r="A4913">
        <f>MOD(4913-1,101)</f>
        <v>64</v>
      </c>
    </row>
    <row r="4914">
      <c r="A4914">
        <f>MOD(4914-1,101)</f>
        <v>65</v>
      </c>
    </row>
    <row r="4915">
      <c r="A4915">
        <f>MOD(4915-1,101)</f>
        <v>66</v>
      </c>
    </row>
    <row r="4916">
      <c r="A4916">
        <f>MOD(4916-1,101)</f>
        <v>67</v>
      </c>
    </row>
    <row r="4917">
      <c r="A4917">
        <f>MOD(4917-1,101)</f>
        <v>68</v>
      </c>
    </row>
    <row r="4918">
      <c r="A4918">
        <f>MOD(4918-1,101)</f>
        <v>69</v>
      </c>
    </row>
    <row r="4919">
      <c r="A4919">
        <f>MOD(4919-1,101)</f>
        <v>70</v>
      </c>
    </row>
    <row r="4920">
      <c r="A4920">
        <f>MOD(4920-1,101)</f>
        <v>71</v>
      </c>
    </row>
    <row r="4921">
      <c r="A4921">
        <f>MOD(4921-1,101)</f>
        <v>72</v>
      </c>
    </row>
    <row r="4922">
      <c r="A4922">
        <f>MOD(4922-1,101)</f>
        <v>73</v>
      </c>
    </row>
    <row r="4923">
      <c r="A4923">
        <f>MOD(4923-1,101)</f>
        <v>74</v>
      </c>
    </row>
    <row r="4924">
      <c r="A4924">
        <f>MOD(4924-1,101)</f>
        <v>75</v>
      </c>
    </row>
    <row r="4925">
      <c r="A4925">
        <f>MOD(4925-1,101)</f>
        <v>76</v>
      </c>
    </row>
    <row r="4926">
      <c r="A4926">
        <f>MOD(4926-1,101)</f>
        <v>77</v>
      </c>
    </row>
    <row r="4927">
      <c r="A4927">
        <f>MOD(4927-1,101)</f>
        <v>78</v>
      </c>
    </row>
    <row r="4928">
      <c r="A4928">
        <f>MOD(4928-1,101)</f>
        <v>79</v>
      </c>
    </row>
    <row r="4929">
      <c r="A4929">
        <f>MOD(4929-1,101)</f>
        <v>80</v>
      </c>
    </row>
    <row r="4930">
      <c r="A4930">
        <f>MOD(4930-1,101)</f>
        <v>81</v>
      </c>
    </row>
    <row r="4931">
      <c r="A4931">
        <f>MOD(4931-1,101)</f>
        <v>82</v>
      </c>
    </row>
    <row r="4932">
      <c r="A4932">
        <f>MOD(4932-1,101)</f>
        <v>83</v>
      </c>
    </row>
    <row r="4933">
      <c r="A4933">
        <f>MOD(4933-1,101)</f>
        <v>84</v>
      </c>
    </row>
    <row r="4934">
      <c r="A4934">
        <f>MOD(4934-1,101)</f>
        <v>85</v>
      </c>
    </row>
    <row r="4935">
      <c r="A4935">
        <f>MOD(4935-1,101)</f>
        <v>86</v>
      </c>
    </row>
    <row r="4936">
      <c r="A4936">
        <f>MOD(4936-1,101)</f>
        <v>87</v>
      </c>
    </row>
    <row r="4937">
      <c r="A4937">
        <f>MOD(4937-1,101)</f>
        <v>88</v>
      </c>
    </row>
    <row r="4938">
      <c r="A4938">
        <f>MOD(4938-1,101)</f>
        <v>89</v>
      </c>
    </row>
    <row r="4939">
      <c r="A4939">
        <f>MOD(4939-1,101)</f>
        <v>90</v>
      </c>
    </row>
    <row r="4940">
      <c r="A4940">
        <f>MOD(4940-1,101)</f>
        <v>91</v>
      </c>
    </row>
    <row r="4941">
      <c r="A4941">
        <f>MOD(4941-1,101)</f>
        <v>92</v>
      </c>
    </row>
    <row r="4942">
      <c r="A4942">
        <f>MOD(4942-1,101)</f>
        <v>93</v>
      </c>
    </row>
    <row r="4943">
      <c r="A4943">
        <f>MOD(4943-1,101)</f>
        <v>94</v>
      </c>
    </row>
    <row r="4944">
      <c r="A4944">
        <f>MOD(4944-1,101)</f>
        <v>95</v>
      </c>
    </row>
    <row r="4945">
      <c r="A4945">
        <f>MOD(4945-1,101)</f>
        <v>96</v>
      </c>
    </row>
    <row r="4946">
      <c r="A4946">
        <f>MOD(4946-1,101)</f>
        <v>97</v>
      </c>
    </row>
    <row r="4947">
      <c r="A4947">
        <f>MOD(4947-1,101)</f>
        <v>98</v>
      </c>
    </row>
    <row r="4948">
      <c r="A4948">
        <f>MOD(4948-1,101)</f>
        <v>99</v>
      </c>
    </row>
    <row r="4949">
      <c r="A4949">
        <f>MOD(4949-1,101)</f>
        <v>100</v>
      </c>
    </row>
    <row r="4950">
      <c r="A4950">
        <f>MOD(4950-1,101)</f>
        <v>0</v>
      </c>
    </row>
    <row r="4951">
      <c r="A4951">
        <f>MOD(4951-1,101)</f>
        <v>1</v>
      </c>
    </row>
    <row r="4952">
      <c r="A4952">
        <f>MOD(4952-1,101)</f>
        <v>2</v>
      </c>
    </row>
    <row r="4953">
      <c r="A4953">
        <f>MOD(4953-1,101)</f>
        <v>3</v>
      </c>
    </row>
    <row r="4954">
      <c r="A4954">
        <f>MOD(4954-1,101)</f>
        <v>4</v>
      </c>
    </row>
    <row r="4955">
      <c r="A4955">
        <f>MOD(4955-1,101)</f>
        <v>5</v>
      </c>
    </row>
    <row r="4956">
      <c r="A4956">
        <f>MOD(4956-1,101)</f>
        <v>6</v>
      </c>
    </row>
    <row r="4957">
      <c r="A4957">
        <f>MOD(4957-1,101)</f>
        <v>7</v>
      </c>
    </row>
    <row r="4958">
      <c r="A4958">
        <f>MOD(4958-1,101)</f>
        <v>8</v>
      </c>
    </row>
    <row r="4959">
      <c r="A4959">
        <f>MOD(4959-1,101)</f>
        <v>9</v>
      </c>
    </row>
    <row r="4960">
      <c r="A4960">
        <f>MOD(4960-1,101)</f>
        <v>10</v>
      </c>
    </row>
    <row r="4961">
      <c r="A4961">
        <f>MOD(4961-1,101)</f>
        <v>11</v>
      </c>
    </row>
    <row r="4962">
      <c r="A4962">
        <f>MOD(4962-1,101)</f>
        <v>12</v>
      </c>
    </row>
    <row r="4963">
      <c r="A4963">
        <f>MOD(4963-1,101)</f>
        <v>13</v>
      </c>
    </row>
    <row r="4964">
      <c r="A4964">
        <f>MOD(4964-1,101)</f>
        <v>14</v>
      </c>
    </row>
    <row r="4965">
      <c r="A4965">
        <f>MOD(4965-1,101)</f>
        <v>15</v>
      </c>
    </row>
    <row r="4966">
      <c r="A4966">
        <f>MOD(4966-1,101)</f>
        <v>16</v>
      </c>
    </row>
    <row r="4967">
      <c r="A4967">
        <f>MOD(4967-1,101)</f>
        <v>17</v>
      </c>
    </row>
    <row r="4968">
      <c r="A4968">
        <f>MOD(4968-1,101)</f>
        <v>18</v>
      </c>
    </row>
    <row r="4969">
      <c r="A4969">
        <f>MOD(4969-1,101)</f>
        <v>19</v>
      </c>
    </row>
    <row r="4970">
      <c r="A4970">
        <f>MOD(4970-1,101)</f>
        <v>20</v>
      </c>
    </row>
    <row r="4971">
      <c r="A4971">
        <f>MOD(4971-1,101)</f>
        <v>21</v>
      </c>
    </row>
    <row r="4972">
      <c r="A4972">
        <f>MOD(4972-1,101)</f>
        <v>22</v>
      </c>
    </row>
    <row r="4973">
      <c r="A4973">
        <f>MOD(4973-1,101)</f>
        <v>23</v>
      </c>
    </row>
    <row r="4974">
      <c r="A4974">
        <f>MOD(4974-1,101)</f>
        <v>24</v>
      </c>
    </row>
    <row r="4975">
      <c r="A4975">
        <f>MOD(4975-1,101)</f>
        <v>25</v>
      </c>
    </row>
    <row r="4976">
      <c r="A4976">
        <f>MOD(4976-1,101)</f>
        <v>26</v>
      </c>
    </row>
    <row r="4977">
      <c r="A4977">
        <f>MOD(4977-1,101)</f>
        <v>27</v>
      </c>
    </row>
    <row r="4978">
      <c r="A4978">
        <f>MOD(4978-1,101)</f>
        <v>28</v>
      </c>
    </row>
    <row r="4979">
      <c r="A4979">
        <f>MOD(4979-1,101)</f>
        <v>29</v>
      </c>
    </row>
    <row r="4980">
      <c r="A4980">
        <f>MOD(4980-1,101)</f>
        <v>30</v>
      </c>
    </row>
    <row r="4981">
      <c r="A4981">
        <f>MOD(4981-1,101)</f>
        <v>31</v>
      </c>
    </row>
    <row r="4982">
      <c r="A4982">
        <f>MOD(4982-1,101)</f>
        <v>32</v>
      </c>
    </row>
    <row r="4983">
      <c r="A4983">
        <f>MOD(4983-1,101)</f>
        <v>33</v>
      </c>
    </row>
    <row r="4984">
      <c r="A4984">
        <f>MOD(4984-1,101)</f>
        <v>34</v>
      </c>
    </row>
    <row r="4985">
      <c r="A4985">
        <f>MOD(4985-1,101)</f>
        <v>35</v>
      </c>
    </row>
    <row r="4986">
      <c r="A4986">
        <f>MOD(4986-1,101)</f>
        <v>36</v>
      </c>
    </row>
    <row r="4987">
      <c r="A4987">
        <f>MOD(4987-1,101)</f>
        <v>37</v>
      </c>
    </row>
    <row r="4988">
      <c r="A4988">
        <f>MOD(4988-1,101)</f>
        <v>38</v>
      </c>
    </row>
    <row r="4989">
      <c r="A4989">
        <f>MOD(4989-1,101)</f>
        <v>39</v>
      </c>
    </row>
    <row r="4990">
      <c r="A4990">
        <f>MOD(4990-1,101)</f>
        <v>40</v>
      </c>
    </row>
    <row r="4991">
      <c r="A4991">
        <f>MOD(4991-1,101)</f>
        <v>41</v>
      </c>
    </row>
    <row r="4992">
      <c r="A4992">
        <f>MOD(4992-1,101)</f>
        <v>42</v>
      </c>
    </row>
    <row r="4993">
      <c r="A4993">
        <f>MOD(4993-1,101)</f>
        <v>43</v>
      </c>
    </row>
    <row r="4994">
      <c r="A4994">
        <f>MOD(4994-1,101)</f>
        <v>44</v>
      </c>
    </row>
    <row r="4995">
      <c r="A4995">
        <f>MOD(4995-1,101)</f>
        <v>45</v>
      </c>
    </row>
    <row r="4996">
      <c r="A4996">
        <f>MOD(4996-1,101)</f>
        <v>46</v>
      </c>
    </row>
    <row r="4997">
      <c r="A4997">
        <f>MOD(4997-1,101)</f>
        <v>47</v>
      </c>
    </row>
    <row r="4998">
      <c r="A4998">
        <f>MOD(4998-1,101)</f>
        <v>48</v>
      </c>
    </row>
    <row r="4999">
      <c r="A4999">
        <f>MOD(4999-1,101)</f>
        <v>49</v>
      </c>
    </row>
    <row r="5000">
      <c r="A5000">
        <f>MOD(5000-1,101)</f>
        <v>50</v>
      </c>
    </row>
    <row r="5001">
      <c r="A5001">
        <f>MOD(5001-1,101)</f>
        <v>51</v>
      </c>
    </row>
    <row r="5002">
      <c r="A5002">
        <f>MOD(5002-1,101)</f>
        <v>52</v>
      </c>
    </row>
    <row r="5003">
      <c r="A5003">
        <f>MOD(5003-1,101)</f>
        <v>53</v>
      </c>
    </row>
    <row r="5004">
      <c r="A5004">
        <f>MOD(5004-1,101)</f>
        <v>54</v>
      </c>
    </row>
    <row r="5005">
      <c r="A5005">
        <f>MOD(5005-1,101)</f>
        <v>55</v>
      </c>
    </row>
    <row r="5006">
      <c r="A5006">
        <f>MOD(5006-1,101)</f>
        <v>56</v>
      </c>
    </row>
    <row r="5007">
      <c r="A5007">
        <f>MOD(5007-1,101)</f>
        <v>57</v>
      </c>
    </row>
    <row r="5008">
      <c r="A5008">
        <f>MOD(5008-1,101)</f>
        <v>58</v>
      </c>
    </row>
    <row r="5009">
      <c r="A5009">
        <f>MOD(5009-1,101)</f>
        <v>59</v>
      </c>
    </row>
    <row r="5010">
      <c r="A5010">
        <f>MOD(5010-1,101)</f>
        <v>60</v>
      </c>
    </row>
    <row r="5011">
      <c r="A5011">
        <f>MOD(5011-1,101)</f>
        <v>61</v>
      </c>
    </row>
    <row r="5012">
      <c r="A5012">
        <f>MOD(5012-1,101)</f>
        <v>62</v>
      </c>
    </row>
    <row r="5013">
      <c r="A5013">
        <f>MOD(5013-1,101)</f>
        <v>63</v>
      </c>
    </row>
    <row r="5014">
      <c r="A5014">
        <f>MOD(5014-1,101)</f>
        <v>64</v>
      </c>
    </row>
    <row r="5015">
      <c r="A5015">
        <f>MOD(5015-1,101)</f>
        <v>65</v>
      </c>
    </row>
    <row r="5016">
      <c r="A5016">
        <f>MOD(5016-1,101)</f>
        <v>66</v>
      </c>
    </row>
    <row r="5017">
      <c r="A5017">
        <f>MOD(5017-1,101)</f>
        <v>67</v>
      </c>
    </row>
    <row r="5018">
      <c r="A5018">
        <f>MOD(5018-1,101)</f>
        <v>68</v>
      </c>
    </row>
    <row r="5019">
      <c r="A5019">
        <f>MOD(5019-1,101)</f>
        <v>69</v>
      </c>
    </row>
    <row r="5020">
      <c r="A5020">
        <f>MOD(5020-1,101)</f>
        <v>70</v>
      </c>
    </row>
    <row r="5021">
      <c r="A5021">
        <f>MOD(5021-1,101)</f>
        <v>71</v>
      </c>
    </row>
    <row r="5022">
      <c r="A5022">
        <f>MOD(5022-1,101)</f>
        <v>72</v>
      </c>
    </row>
    <row r="5023">
      <c r="A5023">
        <f>MOD(5023-1,101)</f>
        <v>73</v>
      </c>
    </row>
    <row r="5024">
      <c r="A5024">
        <f>MOD(5024-1,101)</f>
        <v>74</v>
      </c>
    </row>
    <row r="5025">
      <c r="A5025">
        <f>MOD(5025-1,101)</f>
        <v>75</v>
      </c>
    </row>
    <row r="5026">
      <c r="A5026">
        <f>MOD(5026-1,101)</f>
        <v>76</v>
      </c>
    </row>
    <row r="5027">
      <c r="A5027">
        <f>MOD(5027-1,101)</f>
        <v>77</v>
      </c>
    </row>
    <row r="5028">
      <c r="A5028">
        <f>MOD(5028-1,101)</f>
        <v>78</v>
      </c>
    </row>
    <row r="5029">
      <c r="A5029">
        <f>MOD(5029-1,101)</f>
        <v>79</v>
      </c>
    </row>
    <row r="5030">
      <c r="A5030">
        <f>MOD(5030-1,101)</f>
        <v>80</v>
      </c>
    </row>
    <row r="5031">
      <c r="A5031">
        <f>MOD(5031-1,101)</f>
        <v>81</v>
      </c>
    </row>
    <row r="5032">
      <c r="A5032">
        <f>MOD(5032-1,101)</f>
        <v>82</v>
      </c>
    </row>
    <row r="5033">
      <c r="A5033">
        <f>MOD(5033-1,101)</f>
        <v>83</v>
      </c>
    </row>
    <row r="5034">
      <c r="A5034">
        <f>MOD(5034-1,101)</f>
        <v>84</v>
      </c>
    </row>
    <row r="5035">
      <c r="A5035">
        <f>MOD(5035-1,101)</f>
        <v>85</v>
      </c>
    </row>
    <row r="5036">
      <c r="A5036">
        <f>MOD(5036-1,101)</f>
        <v>86</v>
      </c>
    </row>
    <row r="5037">
      <c r="A5037">
        <f>MOD(5037-1,101)</f>
        <v>87</v>
      </c>
    </row>
    <row r="5038">
      <c r="A5038">
        <f>MOD(5038-1,101)</f>
        <v>88</v>
      </c>
    </row>
    <row r="5039">
      <c r="A5039">
        <f>MOD(5039-1,101)</f>
        <v>89</v>
      </c>
    </row>
    <row r="5040">
      <c r="A5040">
        <f>MOD(5040-1,101)</f>
        <v>90</v>
      </c>
    </row>
    <row r="5041">
      <c r="A5041">
        <f>MOD(5041-1,101)</f>
        <v>91</v>
      </c>
    </row>
    <row r="5042">
      <c r="A5042">
        <f>MOD(5042-1,101)</f>
        <v>92</v>
      </c>
    </row>
    <row r="5043">
      <c r="A5043">
        <f>MOD(5043-1,101)</f>
        <v>93</v>
      </c>
    </row>
    <row r="5044">
      <c r="A5044">
        <f>MOD(5044-1,101)</f>
        <v>94</v>
      </c>
    </row>
    <row r="5045">
      <c r="A5045">
        <f>MOD(5045-1,101)</f>
        <v>95</v>
      </c>
    </row>
    <row r="5046">
      <c r="A5046">
        <f>MOD(5046-1,101)</f>
        <v>96</v>
      </c>
    </row>
    <row r="5047">
      <c r="A5047">
        <f>MOD(5047-1,101)</f>
        <v>97</v>
      </c>
    </row>
    <row r="5048">
      <c r="A5048">
        <f>MOD(5048-1,101)</f>
        <v>98</v>
      </c>
    </row>
    <row r="5049">
      <c r="A5049">
        <f>MOD(5049-1,101)</f>
        <v>99</v>
      </c>
    </row>
    <row r="5050">
      <c r="A5050">
        <f>MOD(5050-1,101)</f>
        <v>100</v>
      </c>
    </row>
    <row r="5051">
      <c r="A5051">
        <f>MOD(5051-1,101)</f>
        <v>0</v>
      </c>
    </row>
    <row r="5052">
      <c r="A5052">
        <f>MOD(5052-1,101)</f>
        <v>1</v>
      </c>
    </row>
    <row r="5053">
      <c r="A5053">
        <f>MOD(5053-1,101)</f>
        <v>2</v>
      </c>
    </row>
    <row r="5054">
      <c r="A5054">
        <f>MOD(5054-1,101)</f>
        <v>3</v>
      </c>
    </row>
    <row r="5055">
      <c r="A5055">
        <f>MOD(5055-1,101)</f>
        <v>4</v>
      </c>
    </row>
    <row r="5056">
      <c r="A5056">
        <f>MOD(5056-1,101)</f>
        <v>5</v>
      </c>
    </row>
    <row r="5057">
      <c r="A5057">
        <f>MOD(5057-1,101)</f>
        <v>6</v>
      </c>
    </row>
    <row r="5058">
      <c r="A5058">
        <f>MOD(5058-1,101)</f>
        <v>7</v>
      </c>
    </row>
    <row r="5059">
      <c r="A5059">
        <f>MOD(5059-1,101)</f>
        <v>8</v>
      </c>
    </row>
    <row r="5060">
      <c r="A5060">
        <f>MOD(5060-1,101)</f>
        <v>9</v>
      </c>
    </row>
    <row r="5061">
      <c r="A5061">
        <f>MOD(5061-1,101)</f>
        <v>10</v>
      </c>
    </row>
    <row r="5062">
      <c r="A5062">
        <f>MOD(5062-1,101)</f>
        <v>11</v>
      </c>
    </row>
    <row r="5063">
      <c r="A5063">
        <f>MOD(5063-1,101)</f>
        <v>12</v>
      </c>
    </row>
    <row r="5064">
      <c r="A5064">
        <f>MOD(5064-1,101)</f>
        <v>13</v>
      </c>
    </row>
    <row r="5065">
      <c r="A5065">
        <f>MOD(5065-1,101)</f>
        <v>14</v>
      </c>
    </row>
    <row r="5066">
      <c r="A5066">
        <f>MOD(5066-1,101)</f>
        <v>15</v>
      </c>
    </row>
    <row r="5067">
      <c r="A5067">
        <f>MOD(5067-1,101)</f>
        <v>16</v>
      </c>
    </row>
    <row r="5068">
      <c r="A5068">
        <f>MOD(5068-1,101)</f>
        <v>17</v>
      </c>
    </row>
    <row r="5069">
      <c r="A5069">
        <f>MOD(5069-1,101)</f>
        <v>18</v>
      </c>
    </row>
    <row r="5070">
      <c r="A5070">
        <f>MOD(5070-1,101)</f>
        <v>19</v>
      </c>
    </row>
    <row r="5071">
      <c r="A5071">
        <f>MOD(5071-1,101)</f>
        <v>20</v>
      </c>
    </row>
    <row r="5072">
      <c r="A5072">
        <f>MOD(5072-1,101)</f>
        <v>21</v>
      </c>
    </row>
    <row r="5073">
      <c r="A5073">
        <f>MOD(5073-1,101)</f>
        <v>22</v>
      </c>
    </row>
    <row r="5074">
      <c r="A5074">
        <f>MOD(5074-1,101)</f>
        <v>23</v>
      </c>
    </row>
    <row r="5075">
      <c r="A5075">
        <f>MOD(5075-1,101)</f>
        <v>24</v>
      </c>
    </row>
    <row r="5076">
      <c r="A5076">
        <f>MOD(5076-1,101)</f>
        <v>25</v>
      </c>
    </row>
    <row r="5077">
      <c r="A5077">
        <f>MOD(5077-1,101)</f>
        <v>26</v>
      </c>
    </row>
    <row r="5078">
      <c r="A5078">
        <f>MOD(5078-1,101)</f>
        <v>27</v>
      </c>
    </row>
    <row r="5079">
      <c r="A5079">
        <f>MOD(5079-1,101)</f>
        <v>28</v>
      </c>
    </row>
    <row r="5080">
      <c r="A5080">
        <f>MOD(5080-1,101)</f>
        <v>29</v>
      </c>
    </row>
    <row r="5081">
      <c r="A5081">
        <f>MOD(5081-1,101)</f>
        <v>30</v>
      </c>
    </row>
    <row r="5082">
      <c r="A5082">
        <f>MOD(5082-1,101)</f>
        <v>31</v>
      </c>
    </row>
    <row r="5083">
      <c r="A5083">
        <f>MOD(5083-1,101)</f>
        <v>32</v>
      </c>
    </row>
    <row r="5084">
      <c r="A5084">
        <f>MOD(5084-1,101)</f>
        <v>33</v>
      </c>
    </row>
    <row r="5085">
      <c r="A5085">
        <f>MOD(5085-1,101)</f>
        <v>34</v>
      </c>
    </row>
    <row r="5086">
      <c r="A5086">
        <f>MOD(5086-1,101)</f>
        <v>35</v>
      </c>
    </row>
    <row r="5087">
      <c r="A5087">
        <f>MOD(5087-1,101)</f>
        <v>36</v>
      </c>
    </row>
    <row r="5088">
      <c r="A5088">
        <f>MOD(5088-1,101)</f>
        <v>37</v>
      </c>
    </row>
    <row r="5089">
      <c r="A5089">
        <f>MOD(5089-1,101)</f>
        <v>38</v>
      </c>
    </row>
    <row r="5090">
      <c r="A5090">
        <f>MOD(5090-1,101)</f>
        <v>39</v>
      </c>
    </row>
    <row r="5091">
      <c r="A5091">
        <f>MOD(5091-1,101)</f>
        <v>40</v>
      </c>
    </row>
    <row r="5092">
      <c r="A5092">
        <f>MOD(5092-1,101)</f>
        <v>41</v>
      </c>
    </row>
    <row r="5093">
      <c r="A5093">
        <f>MOD(5093-1,101)</f>
        <v>42</v>
      </c>
    </row>
    <row r="5094">
      <c r="A5094">
        <f>MOD(5094-1,101)</f>
        <v>43</v>
      </c>
    </row>
    <row r="5095">
      <c r="A5095">
        <f>MOD(5095-1,101)</f>
        <v>44</v>
      </c>
    </row>
    <row r="5096">
      <c r="A5096">
        <f>MOD(5096-1,101)</f>
        <v>45</v>
      </c>
    </row>
    <row r="5097">
      <c r="A5097">
        <f>MOD(5097-1,101)</f>
        <v>46</v>
      </c>
    </row>
    <row r="5098">
      <c r="A5098">
        <f>MOD(5098-1,101)</f>
        <v>47</v>
      </c>
    </row>
    <row r="5099">
      <c r="A5099">
        <f>MOD(5099-1,101)</f>
        <v>48</v>
      </c>
    </row>
    <row r="5100">
      <c r="A5100">
        <f>MOD(5100-1,101)</f>
        <v>49</v>
      </c>
    </row>
    <row r="5101">
      <c r="A5101">
        <f>MOD(5101-1,101)</f>
        <v>50</v>
      </c>
    </row>
    <row r="5102">
      <c r="A5102">
        <f>MOD(5102-1,101)</f>
        <v>51</v>
      </c>
    </row>
    <row r="5103">
      <c r="A5103">
        <f>MOD(5103-1,101)</f>
        <v>52</v>
      </c>
    </row>
    <row r="5104">
      <c r="A5104">
        <f>MOD(5104-1,101)</f>
        <v>53</v>
      </c>
    </row>
    <row r="5105">
      <c r="A5105">
        <f>MOD(5105-1,101)</f>
        <v>54</v>
      </c>
    </row>
    <row r="5106">
      <c r="A5106">
        <f>MOD(5106-1,101)</f>
        <v>55</v>
      </c>
    </row>
    <row r="5107">
      <c r="A5107">
        <f>MOD(5107-1,101)</f>
        <v>56</v>
      </c>
    </row>
    <row r="5108">
      <c r="A5108">
        <f>MOD(5108-1,101)</f>
        <v>57</v>
      </c>
    </row>
    <row r="5109">
      <c r="A5109">
        <f>MOD(5109-1,101)</f>
        <v>58</v>
      </c>
    </row>
    <row r="5110">
      <c r="A5110">
        <f>MOD(5110-1,101)</f>
        <v>59</v>
      </c>
    </row>
    <row r="5111">
      <c r="A5111">
        <f>MOD(5111-1,101)</f>
        <v>60</v>
      </c>
    </row>
    <row r="5112">
      <c r="A5112">
        <f>MOD(5112-1,101)</f>
        <v>61</v>
      </c>
    </row>
    <row r="5113">
      <c r="A5113">
        <f>MOD(5113-1,101)</f>
        <v>62</v>
      </c>
    </row>
    <row r="5114">
      <c r="A5114">
        <f>MOD(5114-1,101)</f>
        <v>63</v>
      </c>
    </row>
    <row r="5115">
      <c r="A5115">
        <f>MOD(5115-1,101)</f>
        <v>64</v>
      </c>
    </row>
    <row r="5116">
      <c r="A5116">
        <f>MOD(5116-1,101)</f>
        <v>65</v>
      </c>
    </row>
    <row r="5117">
      <c r="A5117">
        <f>MOD(5117-1,101)</f>
        <v>66</v>
      </c>
    </row>
    <row r="5118">
      <c r="A5118">
        <f>MOD(5118-1,101)</f>
        <v>67</v>
      </c>
    </row>
    <row r="5119">
      <c r="A5119">
        <f>MOD(5119-1,101)</f>
        <v>68</v>
      </c>
    </row>
    <row r="5120">
      <c r="A5120">
        <f>MOD(5120-1,101)</f>
        <v>69</v>
      </c>
    </row>
    <row r="5121">
      <c r="A5121">
        <f>MOD(5121-1,101)</f>
        <v>70</v>
      </c>
    </row>
    <row r="5122">
      <c r="A5122">
        <f>MOD(5122-1,101)</f>
        <v>71</v>
      </c>
    </row>
    <row r="5123">
      <c r="A5123">
        <f>MOD(5123-1,101)</f>
        <v>72</v>
      </c>
    </row>
    <row r="5124">
      <c r="A5124">
        <f>MOD(5124-1,101)</f>
        <v>73</v>
      </c>
    </row>
    <row r="5125">
      <c r="A5125">
        <f>MOD(5125-1,101)</f>
        <v>74</v>
      </c>
    </row>
    <row r="5126">
      <c r="A5126">
        <f>MOD(5126-1,101)</f>
        <v>75</v>
      </c>
    </row>
    <row r="5127">
      <c r="A5127">
        <f>MOD(5127-1,101)</f>
        <v>76</v>
      </c>
    </row>
    <row r="5128">
      <c r="A5128">
        <f>MOD(5128-1,101)</f>
        <v>77</v>
      </c>
    </row>
    <row r="5129">
      <c r="A5129">
        <f>MOD(5129-1,101)</f>
        <v>78</v>
      </c>
    </row>
    <row r="5130">
      <c r="A5130">
        <f>MOD(5130-1,101)</f>
        <v>79</v>
      </c>
    </row>
    <row r="5131">
      <c r="A5131">
        <f>MOD(5131-1,101)</f>
        <v>80</v>
      </c>
    </row>
    <row r="5132">
      <c r="A5132">
        <f>MOD(5132-1,101)</f>
        <v>81</v>
      </c>
    </row>
    <row r="5133">
      <c r="A5133">
        <f>MOD(5133-1,101)</f>
        <v>82</v>
      </c>
    </row>
    <row r="5134">
      <c r="A5134">
        <f>MOD(5134-1,101)</f>
        <v>83</v>
      </c>
    </row>
    <row r="5135">
      <c r="A5135">
        <f>MOD(5135-1,101)</f>
        <v>84</v>
      </c>
    </row>
    <row r="5136">
      <c r="A5136">
        <f>MOD(5136-1,101)</f>
        <v>85</v>
      </c>
    </row>
    <row r="5137">
      <c r="A5137">
        <f>MOD(5137-1,101)</f>
        <v>86</v>
      </c>
    </row>
    <row r="5138">
      <c r="A5138">
        <f>MOD(5138-1,101)</f>
        <v>87</v>
      </c>
    </row>
    <row r="5139">
      <c r="A5139">
        <f>MOD(5139-1,101)</f>
        <v>88</v>
      </c>
    </row>
    <row r="5140">
      <c r="A5140">
        <f>MOD(5140-1,101)</f>
        <v>89</v>
      </c>
    </row>
    <row r="5141">
      <c r="A5141">
        <f>MOD(5141-1,101)</f>
        <v>90</v>
      </c>
    </row>
    <row r="5142">
      <c r="A5142">
        <f>MOD(5142-1,101)</f>
        <v>91</v>
      </c>
    </row>
    <row r="5143">
      <c r="A5143">
        <f>MOD(5143-1,101)</f>
        <v>92</v>
      </c>
    </row>
    <row r="5144">
      <c r="A5144">
        <f>MOD(5144-1,101)</f>
        <v>93</v>
      </c>
    </row>
    <row r="5145">
      <c r="A5145">
        <f>MOD(5145-1,101)</f>
        <v>94</v>
      </c>
    </row>
    <row r="5146">
      <c r="A5146">
        <f>MOD(5146-1,101)</f>
        <v>95</v>
      </c>
    </row>
    <row r="5147">
      <c r="A5147">
        <f>MOD(5147-1,101)</f>
        <v>96</v>
      </c>
    </row>
    <row r="5148">
      <c r="A5148">
        <f>MOD(5148-1,101)</f>
        <v>97</v>
      </c>
    </row>
    <row r="5149">
      <c r="A5149">
        <f>MOD(5149-1,101)</f>
        <v>98</v>
      </c>
    </row>
    <row r="5150">
      <c r="A5150">
        <f>MOD(5150-1,101)</f>
        <v>99</v>
      </c>
    </row>
    <row r="5151">
      <c r="A5151">
        <f>MOD(5151-1,101)</f>
        <v>100</v>
      </c>
    </row>
    <row r="5152">
      <c r="A5152">
        <f>MOD(5152-1,101)</f>
        <v>0</v>
      </c>
    </row>
    <row r="5153">
      <c r="A5153">
        <f>MOD(5153-1,101)</f>
        <v>1</v>
      </c>
    </row>
    <row r="5154">
      <c r="A5154">
        <f>MOD(5154-1,101)</f>
        <v>2</v>
      </c>
    </row>
    <row r="5155">
      <c r="A5155">
        <f>MOD(5155-1,101)</f>
        <v>3</v>
      </c>
    </row>
    <row r="5156">
      <c r="A5156">
        <f>MOD(5156-1,101)</f>
        <v>4</v>
      </c>
    </row>
    <row r="5157">
      <c r="A5157">
        <f>MOD(5157-1,101)</f>
        <v>5</v>
      </c>
    </row>
    <row r="5158">
      <c r="A5158">
        <f>MOD(5158-1,101)</f>
        <v>6</v>
      </c>
    </row>
    <row r="5159">
      <c r="A5159">
        <f>MOD(5159-1,101)</f>
        <v>7</v>
      </c>
    </row>
    <row r="5160">
      <c r="A5160">
        <f>MOD(5160-1,101)</f>
        <v>8</v>
      </c>
    </row>
    <row r="5161">
      <c r="A5161">
        <f>MOD(5161-1,101)</f>
        <v>9</v>
      </c>
    </row>
    <row r="5162">
      <c r="A5162">
        <f>MOD(5162-1,101)</f>
        <v>10</v>
      </c>
    </row>
    <row r="5163">
      <c r="A5163">
        <f>MOD(5163-1,101)</f>
        <v>11</v>
      </c>
    </row>
    <row r="5164">
      <c r="A5164">
        <f>MOD(5164-1,101)</f>
        <v>12</v>
      </c>
    </row>
    <row r="5165">
      <c r="A5165">
        <f>MOD(5165-1,101)</f>
        <v>13</v>
      </c>
    </row>
    <row r="5166">
      <c r="A5166">
        <f>MOD(5166-1,101)</f>
        <v>14</v>
      </c>
    </row>
    <row r="5167">
      <c r="A5167">
        <f>MOD(5167-1,101)</f>
        <v>15</v>
      </c>
    </row>
    <row r="5168">
      <c r="A5168">
        <f>MOD(5168-1,101)</f>
        <v>16</v>
      </c>
    </row>
    <row r="5169">
      <c r="A5169">
        <f>MOD(5169-1,101)</f>
        <v>17</v>
      </c>
    </row>
    <row r="5170">
      <c r="A5170">
        <f>MOD(5170-1,101)</f>
        <v>18</v>
      </c>
    </row>
    <row r="5171">
      <c r="A5171">
        <f>MOD(5171-1,101)</f>
        <v>19</v>
      </c>
    </row>
    <row r="5172">
      <c r="A5172">
        <f>MOD(5172-1,101)</f>
        <v>20</v>
      </c>
    </row>
    <row r="5173">
      <c r="A5173">
        <f>MOD(5173-1,101)</f>
        <v>21</v>
      </c>
    </row>
    <row r="5174">
      <c r="A5174">
        <f>MOD(5174-1,101)</f>
        <v>22</v>
      </c>
    </row>
    <row r="5175">
      <c r="A5175">
        <f>MOD(5175-1,101)</f>
        <v>23</v>
      </c>
    </row>
    <row r="5176">
      <c r="A5176">
        <f>MOD(5176-1,101)</f>
        <v>24</v>
      </c>
    </row>
    <row r="5177">
      <c r="A5177">
        <f>MOD(5177-1,101)</f>
        <v>25</v>
      </c>
    </row>
    <row r="5178">
      <c r="A5178">
        <f>MOD(5178-1,101)</f>
        <v>26</v>
      </c>
    </row>
    <row r="5179">
      <c r="A5179">
        <f>MOD(5179-1,101)</f>
        <v>27</v>
      </c>
    </row>
    <row r="5180">
      <c r="A5180">
        <f>MOD(5180-1,101)</f>
        <v>28</v>
      </c>
    </row>
    <row r="5181">
      <c r="A5181">
        <f>MOD(5181-1,101)</f>
        <v>29</v>
      </c>
    </row>
    <row r="5182">
      <c r="A5182">
        <f>MOD(5182-1,101)</f>
        <v>30</v>
      </c>
    </row>
    <row r="5183">
      <c r="A5183">
        <f>MOD(5183-1,101)</f>
        <v>31</v>
      </c>
    </row>
    <row r="5184">
      <c r="A5184">
        <f>MOD(5184-1,101)</f>
        <v>32</v>
      </c>
    </row>
    <row r="5185">
      <c r="A5185">
        <f>MOD(5185-1,101)</f>
        <v>33</v>
      </c>
    </row>
    <row r="5186">
      <c r="A5186">
        <f>MOD(5186-1,101)</f>
        <v>34</v>
      </c>
    </row>
    <row r="5187">
      <c r="A5187">
        <f>MOD(5187-1,101)</f>
        <v>35</v>
      </c>
    </row>
    <row r="5188">
      <c r="A5188">
        <f>MOD(5188-1,101)</f>
        <v>36</v>
      </c>
    </row>
    <row r="5189">
      <c r="A5189">
        <f>MOD(5189-1,101)</f>
        <v>37</v>
      </c>
    </row>
    <row r="5190">
      <c r="A5190">
        <f>MOD(5190-1,101)</f>
        <v>38</v>
      </c>
    </row>
    <row r="5191">
      <c r="A5191">
        <f>MOD(5191-1,101)</f>
        <v>39</v>
      </c>
    </row>
    <row r="5192">
      <c r="A5192">
        <f>MOD(5192-1,101)</f>
        <v>40</v>
      </c>
    </row>
    <row r="5193">
      <c r="A5193">
        <f>MOD(5193-1,101)</f>
        <v>41</v>
      </c>
    </row>
    <row r="5194">
      <c r="A5194">
        <f>MOD(5194-1,101)</f>
        <v>42</v>
      </c>
    </row>
    <row r="5195">
      <c r="A5195">
        <f>MOD(5195-1,101)</f>
        <v>43</v>
      </c>
    </row>
    <row r="5196">
      <c r="A5196">
        <f>MOD(5196-1,101)</f>
        <v>44</v>
      </c>
    </row>
    <row r="5197">
      <c r="A5197">
        <f>MOD(5197-1,101)</f>
        <v>45</v>
      </c>
    </row>
    <row r="5198">
      <c r="A5198">
        <f>MOD(5198-1,101)</f>
        <v>46</v>
      </c>
    </row>
    <row r="5199">
      <c r="A5199">
        <f>MOD(5199-1,101)</f>
        <v>47</v>
      </c>
    </row>
    <row r="5200">
      <c r="A5200">
        <f>MOD(5200-1,101)</f>
        <v>48</v>
      </c>
    </row>
    <row r="5201">
      <c r="A5201">
        <f>MOD(5201-1,101)</f>
        <v>49</v>
      </c>
    </row>
    <row r="5202">
      <c r="A5202">
        <f>MOD(5202-1,101)</f>
        <v>50</v>
      </c>
    </row>
    <row r="5203">
      <c r="A5203">
        <f>MOD(5203-1,101)</f>
        <v>51</v>
      </c>
    </row>
    <row r="5204">
      <c r="A5204">
        <f>MOD(5204-1,101)</f>
        <v>52</v>
      </c>
    </row>
    <row r="5205">
      <c r="A5205">
        <f>MOD(5205-1,101)</f>
        <v>53</v>
      </c>
    </row>
    <row r="5206">
      <c r="A5206">
        <f>MOD(5206-1,101)</f>
        <v>54</v>
      </c>
    </row>
    <row r="5207">
      <c r="A5207">
        <f>MOD(5207-1,101)</f>
        <v>55</v>
      </c>
    </row>
    <row r="5208">
      <c r="A5208">
        <f>MOD(5208-1,101)</f>
        <v>56</v>
      </c>
    </row>
    <row r="5209">
      <c r="A5209">
        <f>MOD(5209-1,101)</f>
        <v>57</v>
      </c>
    </row>
    <row r="5210">
      <c r="A5210">
        <f>MOD(5210-1,101)</f>
        <v>58</v>
      </c>
    </row>
    <row r="5211">
      <c r="A5211">
        <f>MOD(5211-1,101)</f>
        <v>59</v>
      </c>
    </row>
    <row r="5212">
      <c r="A5212">
        <f>MOD(5212-1,101)</f>
        <v>60</v>
      </c>
    </row>
    <row r="5213">
      <c r="A5213">
        <f>MOD(5213-1,101)</f>
        <v>61</v>
      </c>
    </row>
    <row r="5214">
      <c r="A5214">
        <f>MOD(5214-1,101)</f>
        <v>62</v>
      </c>
    </row>
    <row r="5215">
      <c r="A5215">
        <f>MOD(5215-1,101)</f>
        <v>63</v>
      </c>
    </row>
    <row r="5216">
      <c r="A5216">
        <f>MOD(5216-1,101)</f>
        <v>64</v>
      </c>
    </row>
    <row r="5217">
      <c r="A5217">
        <f>MOD(5217-1,101)</f>
        <v>65</v>
      </c>
    </row>
    <row r="5218">
      <c r="A5218">
        <f>MOD(5218-1,101)</f>
        <v>66</v>
      </c>
    </row>
    <row r="5219">
      <c r="A5219">
        <f>MOD(5219-1,101)</f>
        <v>67</v>
      </c>
    </row>
    <row r="5220">
      <c r="A5220">
        <f>MOD(5220-1,101)</f>
        <v>68</v>
      </c>
    </row>
    <row r="5221">
      <c r="A5221">
        <f>MOD(5221-1,101)</f>
        <v>69</v>
      </c>
    </row>
    <row r="5222">
      <c r="A5222">
        <f>MOD(5222-1,101)</f>
        <v>70</v>
      </c>
    </row>
    <row r="5223">
      <c r="A5223">
        <f>MOD(5223-1,101)</f>
        <v>71</v>
      </c>
    </row>
    <row r="5224">
      <c r="A5224">
        <f>MOD(5224-1,101)</f>
        <v>72</v>
      </c>
    </row>
    <row r="5225">
      <c r="A5225">
        <f>MOD(5225-1,101)</f>
        <v>73</v>
      </c>
    </row>
    <row r="5226">
      <c r="A5226">
        <f>MOD(5226-1,101)</f>
        <v>74</v>
      </c>
    </row>
    <row r="5227">
      <c r="A5227">
        <f>MOD(5227-1,101)</f>
        <v>75</v>
      </c>
    </row>
    <row r="5228">
      <c r="A5228">
        <f>MOD(5228-1,101)</f>
        <v>76</v>
      </c>
    </row>
    <row r="5229">
      <c r="A5229">
        <f>MOD(5229-1,101)</f>
        <v>77</v>
      </c>
    </row>
    <row r="5230">
      <c r="A5230">
        <f>MOD(5230-1,101)</f>
        <v>78</v>
      </c>
    </row>
    <row r="5231">
      <c r="A5231">
        <f>MOD(5231-1,101)</f>
        <v>79</v>
      </c>
    </row>
    <row r="5232">
      <c r="A5232">
        <f>MOD(5232-1,101)</f>
        <v>80</v>
      </c>
    </row>
    <row r="5233">
      <c r="A5233">
        <f>MOD(5233-1,101)</f>
        <v>81</v>
      </c>
    </row>
    <row r="5234">
      <c r="A5234">
        <f>MOD(5234-1,101)</f>
        <v>82</v>
      </c>
    </row>
    <row r="5235">
      <c r="A5235">
        <f>MOD(5235-1,101)</f>
        <v>83</v>
      </c>
    </row>
    <row r="5236">
      <c r="A5236">
        <f>MOD(5236-1,101)</f>
        <v>84</v>
      </c>
    </row>
    <row r="5237">
      <c r="A5237">
        <f>MOD(5237-1,101)</f>
        <v>85</v>
      </c>
    </row>
    <row r="5238">
      <c r="A5238">
        <f>MOD(5238-1,101)</f>
        <v>86</v>
      </c>
    </row>
    <row r="5239">
      <c r="A5239">
        <f>MOD(5239-1,101)</f>
        <v>87</v>
      </c>
    </row>
    <row r="5240">
      <c r="A5240">
        <f>MOD(5240-1,101)</f>
        <v>88</v>
      </c>
    </row>
    <row r="5241">
      <c r="A5241">
        <f>MOD(5241-1,101)</f>
        <v>89</v>
      </c>
    </row>
    <row r="5242">
      <c r="A5242">
        <f>MOD(5242-1,101)</f>
        <v>90</v>
      </c>
    </row>
    <row r="5243">
      <c r="A5243">
        <f>MOD(5243-1,101)</f>
        <v>91</v>
      </c>
    </row>
    <row r="5244">
      <c r="A5244">
        <f>MOD(5244-1,101)</f>
        <v>92</v>
      </c>
    </row>
    <row r="5245">
      <c r="A5245">
        <f>MOD(5245-1,101)</f>
        <v>93</v>
      </c>
    </row>
    <row r="5246">
      <c r="A5246">
        <f>MOD(5246-1,101)</f>
        <v>94</v>
      </c>
    </row>
    <row r="5247">
      <c r="A5247">
        <f>MOD(5247-1,101)</f>
        <v>95</v>
      </c>
    </row>
    <row r="5248">
      <c r="A5248">
        <f>MOD(5248-1,101)</f>
        <v>96</v>
      </c>
    </row>
    <row r="5249">
      <c r="A5249">
        <f>MOD(5249-1,101)</f>
        <v>97</v>
      </c>
    </row>
    <row r="5250">
      <c r="A5250">
        <f>MOD(5250-1,101)</f>
        <v>98</v>
      </c>
    </row>
    <row r="5251">
      <c r="A5251">
        <f>MOD(5251-1,101)</f>
        <v>99</v>
      </c>
    </row>
    <row r="5252">
      <c r="A5252">
        <f>MOD(5252-1,101)</f>
        <v>100</v>
      </c>
    </row>
    <row r="5253">
      <c r="A5253">
        <f>MOD(5253-1,101)</f>
        <v>0</v>
      </c>
    </row>
    <row r="5254">
      <c r="A5254">
        <f>MOD(5254-1,101)</f>
        <v>1</v>
      </c>
    </row>
    <row r="5255">
      <c r="A5255">
        <f>MOD(5255-1,101)</f>
        <v>2</v>
      </c>
    </row>
    <row r="5256">
      <c r="A5256">
        <f>MOD(5256-1,101)</f>
        <v>3</v>
      </c>
    </row>
    <row r="5257">
      <c r="A5257">
        <f>MOD(5257-1,101)</f>
        <v>4</v>
      </c>
    </row>
    <row r="5258">
      <c r="A5258">
        <f>MOD(5258-1,101)</f>
        <v>5</v>
      </c>
    </row>
    <row r="5259">
      <c r="A5259">
        <f>MOD(5259-1,101)</f>
        <v>6</v>
      </c>
    </row>
    <row r="5260">
      <c r="A5260">
        <f>MOD(5260-1,101)</f>
        <v>7</v>
      </c>
    </row>
    <row r="5261">
      <c r="A5261">
        <f>MOD(5261-1,101)</f>
        <v>8</v>
      </c>
    </row>
    <row r="5262">
      <c r="A5262">
        <f>MOD(5262-1,101)</f>
        <v>9</v>
      </c>
    </row>
    <row r="5263">
      <c r="A5263">
        <f>MOD(5263-1,101)</f>
        <v>10</v>
      </c>
    </row>
    <row r="5264">
      <c r="A5264">
        <f>MOD(5264-1,101)</f>
        <v>11</v>
      </c>
    </row>
    <row r="5265">
      <c r="A5265">
        <f>MOD(5265-1,101)</f>
        <v>12</v>
      </c>
    </row>
    <row r="5266">
      <c r="A5266">
        <f>MOD(5266-1,101)</f>
        <v>13</v>
      </c>
    </row>
    <row r="5267">
      <c r="A5267">
        <f>MOD(5267-1,101)</f>
        <v>14</v>
      </c>
    </row>
    <row r="5268">
      <c r="A5268">
        <f>MOD(5268-1,101)</f>
        <v>15</v>
      </c>
    </row>
    <row r="5269">
      <c r="A5269">
        <f>MOD(5269-1,101)</f>
        <v>16</v>
      </c>
    </row>
    <row r="5270">
      <c r="A5270">
        <f>MOD(5270-1,101)</f>
        <v>17</v>
      </c>
    </row>
    <row r="5271">
      <c r="A5271">
        <f>MOD(5271-1,101)</f>
        <v>18</v>
      </c>
    </row>
    <row r="5272">
      <c r="A5272">
        <f>MOD(5272-1,101)</f>
        <v>19</v>
      </c>
    </row>
    <row r="5273">
      <c r="A5273">
        <f>MOD(5273-1,101)</f>
        <v>20</v>
      </c>
    </row>
    <row r="5274">
      <c r="A5274">
        <f>MOD(5274-1,101)</f>
        <v>21</v>
      </c>
    </row>
    <row r="5275">
      <c r="A5275">
        <f>MOD(5275-1,101)</f>
        <v>22</v>
      </c>
    </row>
    <row r="5276">
      <c r="A5276">
        <f>MOD(5276-1,101)</f>
        <v>23</v>
      </c>
    </row>
    <row r="5277">
      <c r="A5277">
        <f>MOD(5277-1,101)</f>
        <v>24</v>
      </c>
    </row>
    <row r="5278">
      <c r="A5278">
        <f>MOD(5278-1,101)</f>
        <v>25</v>
      </c>
    </row>
    <row r="5279">
      <c r="A5279">
        <f>MOD(5279-1,101)</f>
        <v>26</v>
      </c>
    </row>
    <row r="5280">
      <c r="A5280">
        <f>MOD(5280-1,101)</f>
        <v>27</v>
      </c>
    </row>
    <row r="5281">
      <c r="A5281">
        <f>MOD(5281-1,101)</f>
        <v>28</v>
      </c>
    </row>
    <row r="5282">
      <c r="A5282">
        <f>MOD(5282-1,101)</f>
        <v>29</v>
      </c>
    </row>
    <row r="5283">
      <c r="A5283">
        <f>MOD(5283-1,101)</f>
        <v>30</v>
      </c>
    </row>
    <row r="5284">
      <c r="A5284">
        <f>MOD(5284-1,101)</f>
        <v>31</v>
      </c>
    </row>
    <row r="5285">
      <c r="A5285">
        <f>MOD(5285-1,101)</f>
        <v>32</v>
      </c>
    </row>
    <row r="5286">
      <c r="A5286">
        <f>MOD(5286-1,101)</f>
        <v>33</v>
      </c>
    </row>
    <row r="5287">
      <c r="A5287">
        <f>MOD(5287-1,101)</f>
        <v>34</v>
      </c>
    </row>
    <row r="5288">
      <c r="A5288">
        <f>MOD(5288-1,101)</f>
        <v>35</v>
      </c>
    </row>
    <row r="5289">
      <c r="A5289">
        <f>MOD(5289-1,101)</f>
        <v>36</v>
      </c>
    </row>
    <row r="5290">
      <c r="A5290">
        <f>MOD(5290-1,101)</f>
        <v>37</v>
      </c>
    </row>
    <row r="5291">
      <c r="A5291">
        <f>MOD(5291-1,101)</f>
        <v>38</v>
      </c>
    </row>
    <row r="5292">
      <c r="A5292">
        <f>MOD(5292-1,101)</f>
        <v>39</v>
      </c>
    </row>
    <row r="5293">
      <c r="A5293">
        <f>MOD(5293-1,101)</f>
        <v>40</v>
      </c>
    </row>
    <row r="5294">
      <c r="A5294">
        <f>MOD(5294-1,101)</f>
        <v>41</v>
      </c>
    </row>
    <row r="5295">
      <c r="A5295">
        <f>MOD(5295-1,101)</f>
        <v>42</v>
      </c>
    </row>
    <row r="5296">
      <c r="A5296">
        <f>MOD(5296-1,101)</f>
        <v>43</v>
      </c>
    </row>
    <row r="5297">
      <c r="A5297">
        <f>MOD(5297-1,101)</f>
        <v>44</v>
      </c>
    </row>
    <row r="5298">
      <c r="A5298">
        <f>MOD(5298-1,101)</f>
        <v>45</v>
      </c>
    </row>
    <row r="5299">
      <c r="A5299">
        <f>MOD(5299-1,101)</f>
        <v>46</v>
      </c>
    </row>
    <row r="5300">
      <c r="A5300">
        <f>MOD(5300-1,101)</f>
        <v>47</v>
      </c>
    </row>
    <row r="5301">
      <c r="A5301">
        <f>MOD(5301-1,101)</f>
        <v>48</v>
      </c>
    </row>
    <row r="5302">
      <c r="A5302">
        <f>MOD(5302-1,101)</f>
        <v>49</v>
      </c>
    </row>
    <row r="5303">
      <c r="A5303">
        <f>MOD(5303-1,101)</f>
        <v>50</v>
      </c>
    </row>
    <row r="5304">
      <c r="A5304">
        <f>MOD(5304-1,101)</f>
        <v>51</v>
      </c>
    </row>
    <row r="5305">
      <c r="A5305">
        <f>MOD(5305-1,101)</f>
        <v>52</v>
      </c>
    </row>
    <row r="5306">
      <c r="A5306">
        <f>MOD(5306-1,101)</f>
        <v>53</v>
      </c>
    </row>
    <row r="5307">
      <c r="A5307">
        <f>MOD(5307-1,101)</f>
        <v>54</v>
      </c>
    </row>
    <row r="5308">
      <c r="A5308">
        <f>MOD(5308-1,101)</f>
        <v>55</v>
      </c>
    </row>
    <row r="5309">
      <c r="A5309">
        <f>MOD(5309-1,101)</f>
        <v>56</v>
      </c>
    </row>
    <row r="5310">
      <c r="A5310">
        <f>MOD(5310-1,101)</f>
        <v>57</v>
      </c>
    </row>
    <row r="5311">
      <c r="A5311">
        <f>MOD(5311-1,101)</f>
        <v>58</v>
      </c>
    </row>
    <row r="5312">
      <c r="A5312">
        <f>MOD(5312-1,101)</f>
        <v>59</v>
      </c>
    </row>
    <row r="5313">
      <c r="A5313">
        <f>MOD(5313-1,101)</f>
        <v>60</v>
      </c>
    </row>
    <row r="5314">
      <c r="A5314">
        <f>MOD(5314-1,101)</f>
        <v>61</v>
      </c>
    </row>
    <row r="5315">
      <c r="A5315">
        <f>MOD(5315-1,101)</f>
        <v>62</v>
      </c>
    </row>
    <row r="5316">
      <c r="A5316">
        <f>MOD(5316-1,101)</f>
        <v>63</v>
      </c>
    </row>
    <row r="5317">
      <c r="A5317">
        <f>MOD(5317-1,101)</f>
        <v>64</v>
      </c>
    </row>
    <row r="5318">
      <c r="A5318">
        <f>MOD(5318-1,101)</f>
        <v>65</v>
      </c>
    </row>
    <row r="5319">
      <c r="A5319">
        <f>MOD(5319-1,101)</f>
        <v>66</v>
      </c>
    </row>
    <row r="5320">
      <c r="A5320">
        <f>MOD(5320-1,101)</f>
        <v>67</v>
      </c>
    </row>
    <row r="5321">
      <c r="A5321">
        <f>MOD(5321-1,101)</f>
        <v>68</v>
      </c>
    </row>
    <row r="5322">
      <c r="A5322">
        <f>MOD(5322-1,101)</f>
        <v>69</v>
      </c>
    </row>
    <row r="5323">
      <c r="A5323">
        <f>MOD(5323-1,101)</f>
        <v>70</v>
      </c>
    </row>
    <row r="5324">
      <c r="A5324">
        <f>MOD(5324-1,101)</f>
        <v>71</v>
      </c>
    </row>
    <row r="5325">
      <c r="A5325">
        <f>MOD(5325-1,101)</f>
        <v>72</v>
      </c>
    </row>
    <row r="5326">
      <c r="A5326">
        <f>MOD(5326-1,101)</f>
        <v>73</v>
      </c>
    </row>
    <row r="5327">
      <c r="A5327">
        <f>MOD(5327-1,101)</f>
        <v>74</v>
      </c>
    </row>
    <row r="5328">
      <c r="A5328">
        <f>MOD(5328-1,101)</f>
        <v>75</v>
      </c>
    </row>
    <row r="5329">
      <c r="A5329">
        <f>MOD(5329-1,101)</f>
        <v>76</v>
      </c>
    </row>
    <row r="5330">
      <c r="A5330">
        <f>MOD(5330-1,101)</f>
        <v>77</v>
      </c>
    </row>
    <row r="5331">
      <c r="A5331">
        <f>MOD(5331-1,101)</f>
        <v>78</v>
      </c>
    </row>
    <row r="5332">
      <c r="A5332">
        <f>MOD(5332-1,101)</f>
        <v>79</v>
      </c>
    </row>
    <row r="5333">
      <c r="A5333">
        <f>MOD(5333-1,101)</f>
        <v>80</v>
      </c>
    </row>
    <row r="5334">
      <c r="A5334">
        <f>MOD(5334-1,101)</f>
        <v>81</v>
      </c>
    </row>
    <row r="5335">
      <c r="A5335">
        <f>MOD(5335-1,101)</f>
        <v>82</v>
      </c>
    </row>
    <row r="5336">
      <c r="A5336">
        <f>MOD(5336-1,101)</f>
        <v>83</v>
      </c>
    </row>
    <row r="5337">
      <c r="A5337">
        <f>MOD(5337-1,101)</f>
        <v>84</v>
      </c>
    </row>
    <row r="5338">
      <c r="A5338">
        <f>MOD(5338-1,101)</f>
        <v>85</v>
      </c>
    </row>
    <row r="5339">
      <c r="A5339">
        <f>MOD(5339-1,101)</f>
        <v>86</v>
      </c>
    </row>
    <row r="5340">
      <c r="A5340">
        <f>MOD(5340-1,101)</f>
        <v>87</v>
      </c>
    </row>
    <row r="5341">
      <c r="A5341">
        <f>MOD(5341-1,101)</f>
        <v>88</v>
      </c>
    </row>
    <row r="5342">
      <c r="A5342">
        <f>MOD(5342-1,101)</f>
        <v>89</v>
      </c>
    </row>
    <row r="5343">
      <c r="A5343">
        <f>MOD(5343-1,101)</f>
        <v>90</v>
      </c>
    </row>
    <row r="5344">
      <c r="A5344">
        <f>MOD(5344-1,101)</f>
        <v>91</v>
      </c>
    </row>
    <row r="5345">
      <c r="A5345">
        <f>MOD(5345-1,101)</f>
        <v>92</v>
      </c>
    </row>
    <row r="5346">
      <c r="A5346">
        <f>MOD(5346-1,101)</f>
        <v>93</v>
      </c>
    </row>
    <row r="5347">
      <c r="A5347">
        <f>MOD(5347-1,101)</f>
        <v>94</v>
      </c>
    </row>
    <row r="5348">
      <c r="A5348">
        <f>MOD(5348-1,101)</f>
        <v>95</v>
      </c>
    </row>
    <row r="5349">
      <c r="A5349">
        <f>MOD(5349-1,101)</f>
        <v>96</v>
      </c>
    </row>
    <row r="5350">
      <c r="A5350">
        <f>MOD(5350-1,101)</f>
        <v>97</v>
      </c>
    </row>
    <row r="5351">
      <c r="A5351">
        <f>MOD(5351-1,101)</f>
        <v>98</v>
      </c>
    </row>
    <row r="5352">
      <c r="A5352">
        <f>MOD(5352-1,101)</f>
        <v>99</v>
      </c>
    </row>
    <row r="5353">
      <c r="A5353">
        <f>MOD(5353-1,101)</f>
        <v>100</v>
      </c>
    </row>
    <row r="5354">
      <c r="A5354">
        <f>MOD(5354-1,101)</f>
        <v>0</v>
      </c>
    </row>
    <row r="5355">
      <c r="A5355">
        <f>MOD(5355-1,101)</f>
        <v>1</v>
      </c>
    </row>
    <row r="5356">
      <c r="A5356">
        <f>MOD(5356-1,101)</f>
        <v>2</v>
      </c>
    </row>
    <row r="5357">
      <c r="A5357">
        <f>MOD(5357-1,101)</f>
        <v>3</v>
      </c>
    </row>
    <row r="5358">
      <c r="A5358">
        <f>MOD(5358-1,101)</f>
        <v>4</v>
      </c>
    </row>
    <row r="5359">
      <c r="A5359">
        <f>MOD(5359-1,101)</f>
        <v>5</v>
      </c>
    </row>
    <row r="5360">
      <c r="A5360">
        <f>MOD(5360-1,101)</f>
        <v>6</v>
      </c>
    </row>
    <row r="5361">
      <c r="A5361">
        <f>MOD(5361-1,101)</f>
        <v>7</v>
      </c>
    </row>
    <row r="5362">
      <c r="A5362">
        <f>MOD(5362-1,101)</f>
        <v>8</v>
      </c>
    </row>
    <row r="5363">
      <c r="A5363">
        <f>MOD(5363-1,101)</f>
        <v>9</v>
      </c>
    </row>
    <row r="5364">
      <c r="A5364">
        <f>MOD(5364-1,101)</f>
        <v>10</v>
      </c>
    </row>
    <row r="5365">
      <c r="A5365">
        <f>MOD(5365-1,101)</f>
        <v>11</v>
      </c>
    </row>
    <row r="5366">
      <c r="A5366">
        <f>MOD(5366-1,101)</f>
        <v>12</v>
      </c>
    </row>
    <row r="5367">
      <c r="A5367">
        <f>MOD(5367-1,101)</f>
        <v>13</v>
      </c>
    </row>
    <row r="5368">
      <c r="A5368">
        <f>MOD(5368-1,101)</f>
        <v>14</v>
      </c>
    </row>
    <row r="5369">
      <c r="A5369">
        <f>MOD(5369-1,101)</f>
        <v>15</v>
      </c>
    </row>
    <row r="5370">
      <c r="A5370">
        <f>MOD(5370-1,101)</f>
        <v>16</v>
      </c>
    </row>
    <row r="5371">
      <c r="A5371">
        <f>MOD(5371-1,101)</f>
        <v>17</v>
      </c>
    </row>
    <row r="5372">
      <c r="A5372">
        <f>MOD(5372-1,101)</f>
        <v>18</v>
      </c>
    </row>
    <row r="5373">
      <c r="A5373">
        <f>MOD(5373-1,101)</f>
        <v>19</v>
      </c>
    </row>
    <row r="5374">
      <c r="A5374">
        <f>MOD(5374-1,101)</f>
        <v>20</v>
      </c>
    </row>
    <row r="5375">
      <c r="A5375">
        <f>MOD(5375-1,101)</f>
        <v>21</v>
      </c>
    </row>
    <row r="5376">
      <c r="A5376">
        <f>MOD(5376-1,101)</f>
        <v>22</v>
      </c>
    </row>
    <row r="5377">
      <c r="A5377">
        <f>MOD(5377-1,101)</f>
        <v>23</v>
      </c>
    </row>
    <row r="5378">
      <c r="A5378">
        <f>MOD(5378-1,101)</f>
        <v>24</v>
      </c>
    </row>
    <row r="5379">
      <c r="A5379">
        <f>MOD(5379-1,101)</f>
        <v>25</v>
      </c>
    </row>
    <row r="5380">
      <c r="A5380">
        <f>MOD(5380-1,101)</f>
        <v>26</v>
      </c>
    </row>
    <row r="5381">
      <c r="A5381">
        <f>MOD(5381-1,101)</f>
        <v>27</v>
      </c>
    </row>
    <row r="5382">
      <c r="A5382">
        <f>MOD(5382-1,101)</f>
        <v>28</v>
      </c>
    </row>
    <row r="5383">
      <c r="A5383">
        <f>MOD(5383-1,101)</f>
        <v>29</v>
      </c>
    </row>
    <row r="5384">
      <c r="A5384">
        <f>MOD(5384-1,101)</f>
        <v>30</v>
      </c>
    </row>
    <row r="5385">
      <c r="A5385">
        <f>MOD(5385-1,101)</f>
        <v>31</v>
      </c>
    </row>
    <row r="5386">
      <c r="A5386">
        <f>MOD(5386-1,101)</f>
        <v>32</v>
      </c>
    </row>
    <row r="5387">
      <c r="A5387">
        <f>MOD(5387-1,101)</f>
        <v>33</v>
      </c>
    </row>
    <row r="5388">
      <c r="A5388">
        <f>MOD(5388-1,101)</f>
        <v>34</v>
      </c>
    </row>
    <row r="5389">
      <c r="A5389">
        <f>MOD(5389-1,101)</f>
        <v>35</v>
      </c>
    </row>
    <row r="5390">
      <c r="A5390">
        <f>MOD(5390-1,101)</f>
        <v>36</v>
      </c>
    </row>
    <row r="5391">
      <c r="A5391">
        <f>MOD(5391-1,101)</f>
        <v>37</v>
      </c>
    </row>
    <row r="5392">
      <c r="A5392">
        <f>MOD(5392-1,101)</f>
        <v>38</v>
      </c>
    </row>
    <row r="5393">
      <c r="A5393">
        <f>MOD(5393-1,101)</f>
        <v>39</v>
      </c>
    </row>
    <row r="5394">
      <c r="A5394">
        <f>MOD(5394-1,101)</f>
        <v>40</v>
      </c>
    </row>
    <row r="5395">
      <c r="A5395">
        <f>MOD(5395-1,101)</f>
        <v>41</v>
      </c>
    </row>
    <row r="5396">
      <c r="A5396">
        <f>MOD(5396-1,101)</f>
        <v>42</v>
      </c>
    </row>
    <row r="5397">
      <c r="A5397">
        <f>MOD(5397-1,101)</f>
        <v>43</v>
      </c>
    </row>
    <row r="5398">
      <c r="A5398">
        <f>MOD(5398-1,101)</f>
        <v>44</v>
      </c>
    </row>
    <row r="5399">
      <c r="A5399">
        <f>MOD(5399-1,101)</f>
        <v>45</v>
      </c>
    </row>
    <row r="5400">
      <c r="A5400">
        <f>MOD(5400-1,101)</f>
        <v>46</v>
      </c>
    </row>
    <row r="5401">
      <c r="A5401">
        <f>MOD(5401-1,101)</f>
        <v>47</v>
      </c>
    </row>
    <row r="5402">
      <c r="A5402">
        <f>MOD(5402-1,101)</f>
        <v>48</v>
      </c>
    </row>
    <row r="5403">
      <c r="A5403">
        <f>MOD(5403-1,101)</f>
        <v>49</v>
      </c>
    </row>
    <row r="5404">
      <c r="A5404">
        <f>MOD(5404-1,101)</f>
        <v>50</v>
      </c>
    </row>
    <row r="5405">
      <c r="A5405">
        <f>MOD(5405-1,101)</f>
        <v>51</v>
      </c>
    </row>
    <row r="5406">
      <c r="A5406">
        <f>MOD(5406-1,101)</f>
        <v>52</v>
      </c>
    </row>
    <row r="5407">
      <c r="A5407">
        <f>MOD(5407-1,101)</f>
        <v>53</v>
      </c>
    </row>
    <row r="5408">
      <c r="A5408">
        <f>MOD(5408-1,101)</f>
        <v>54</v>
      </c>
    </row>
    <row r="5409">
      <c r="A5409">
        <f>MOD(5409-1,101)</f>
        <v>55</v>
      </c>
    </row>
    <row r="5410">
      <c r="A5410">
        <f>MOD(5410-1,101)</f>
        <v>56</v>
      </c>
    </row>
    <row r="5411">
      <c r="A5411">
        <f>MOD(5411-1,101)</f>
        <v>57</v>
      </c>
    </row>
    <row r="5412">
      <c r="A5412">
        <f>MOD(5412-1,101)</f>
        <v>58</v>
      </c>
    </row>
    <row r="5413">
      <c r="A5413">
        <f>MOD(5413-1,101)</f>
        <v>59</v>
      </c>
    </row>
    <row r="5414">
      <c r="A5414">
        <f>MOD(5414-1,101)</f>
        <v>60</v>
      </c>
    </row>
    <row r="5415">
      <c r="A5415">
        <f>MOD(5415-1,101)</f>
        <v>61</v>
      </c>
    </row>
    <row r="5416">
      <c r="A5416">
        <f>MOD(5416-1,101)</f>
        <v>62</v>
      </c>
    </row>
    <row r="5417">
      <c r="A5417">
        <f>MOD(5417-1,101)</f>
        <v>63</v>
      </c>
    </row>
    <row r="5418">
      <c r="A5418">
        <f>MOD(5418-1,101)</f>
        <v>64</v>
      </c>
    </row>
    <row r="5419">
      <c r="A5419">
        <f>MOD(5419-1,101)</f>
        <v>65</v>
      </c>
    </row>
    <row r="5420">
      <c r="A5420">
        <f>MOD(5420-1,101)</f>
        <v>66</v>
      </c>
    </row>
    <row r="5421">
      <c r="A5421">
        <f>MOD(5421-1,101)</f>
        <v>67</v>
      </c>
    </row>
    <row r="5422">
      <c r="A5422">
        <f>MOD(5422-1,101)</f>
        <v>68</v>
      </c>
    </row>
    <row r="5423">
      <c r="A5423">
        <f>MOD(5423-1,101)</f>
        <v>69</v>
      </c>
    </row>
    <row r="5424">
      <c r="A5424">
        <f>MOD(5424-1,101)</f>
        <v>70</v>
      </c>
    </row>
    <row r="5425">
      <c r="A5425">
        <f>MOD(5425-1,101)</f>
        <v>71</v>
      </c>
    </row>
    <row r="5426">
      <c r="A5426">
        <f>MOD(5426-1,101)</f>
        <v>72</v>
      </c>
    </row>
    <row r="5427">
      <c r="A5427">
        <f>MOD(5427-1,101)</f>
        <v>73</v>
      </c>
    </row>
    <row r="5428">
      <c r="A5428">
        <f>MOD(5428-1,101)</f>
        <v>74</v>
      </c>
    </row>
    <row r="5429">
      <c r="A5429">
        <f>MOD(5429-1,101)</f>
        <v>75</v>
      </c>
    </row>
    <row r="5430">
      <c r="A5430">
        <f>MOD(5430-1,101)</f>
        <v>76</v>
      </c>
    </row>
    <row r="5431">
      <c r="A5431">
        <f>MOD(5431-1,101)</f>
        <v>77</v>
      </c>
    </row>
    <row r="5432">
      <c r="A5432">
        <f>MOD(5432-1,101)</f>
        <v>78</v>
      </c>
    </row>
    <row r="5433">
      <c r="A5433">
        <f>MOD(5433-1,101)</f>
        <v>79</v>
      </c>
    </row>
    <row r="5434">
      <c r="A5434">
        <f>MOD(5434-1,101)</f>
        <v>80</v>
      </c>
    </row>
    <row r="5435">
      <c r="A5435">
        <f>MOD(5435-1,101)</f>
        <v>81</v>
      </c>
    </row>
    <row r="5436">
      <c r="A5436">
        <f>MOD(5436-1,101)</f>
        <v>82</v>
      </c>
    </row>
    <row r="5437">
      <c r="A5437">
        <f>MOD(5437-1,101)</f>
        <v>83</v>
      </c>
    </row>
    <row r="5438">
      <c r="A5438">
        <f>MOD(5438-1,101)</f>
        <v>84</v>
      </c>
    </row>
    <row r="5439">
      <c r="A5439">
        <f>MOD(5439-1,101)</f>
        <v>85</v>
      </c>
    </row>
    <row r="5440">
      <c r="A5440">
        <f>MOD(5440-1,101)</f>
        <v>86</v>
      </c>
    </row>
    <row r="5441">
      <c r="A5441">
        <f>MOD(5441-1,101)</f>
        <v>87</v>
      </c>
    </row>
    <row r="5442">
      <c r="A5442">
        <f>MOD(5442-1,101)</f>
        <v>88</v>
      </c>
    </row>
    <row r="5443">
      <c r="A5443">
        <f>MOD(5443-1,101)</f>
        <v>89</v>
      </c>
    </row>
    <row r="5444">
      <c r="A5444">
        <f>MOD(5444-1,101)</f>
        <v>90</v>
      </c>
    </row>
    <row r="5445">
      <c r="A5445">
        <f>MOD(5445-1,101)</f>
        <v>91</v>
      </c>
    </row>
    <row r="5446">
      <c r="A5446">
        <f>MOD(5446-1,101)</f>
        <v>92</v>
      </c>
    </row>
    <row r="5447">
      <c r="A5447">
        <f>MOD(5447-1,101)</f>
        <v>93</v>
      </c>
    </row>
    <row r="5448">
      <c r="A5448">
        <f>MOD(5448-1,101)</f>
        <v>94</v>
      </c>
    </row>
    <row r="5449">
      <c r="A5449">
        <f>MOD(5449-1,101)</f>
        <v>95</v>
      </c>
    </row>
    <row r="5450">
      <c r="A5450">
        <f>MOD(5450-1,101)</f>
        <v>96</v>
      </c>
    </row>
    <row r="5451">
      <c r="A5451">
        <f>MOD(5451-1,101)</f>
        <v>97</v>
      </c>
    </row>
    <row r="5452">
      <c r="A5452">
        <f>MOD(5452-1,101)</f>
        <v>98</v>
      </c>
    </row>
    <row r="5453">
      <c r="A5453">
        <f>MOD(5453-1,101)</f>
        <v>99</v>
      </c>
    </row>
    <row r="5454">
      <c r="A5454">
        <f>MOD(5454-1,101)</f>
        <v>100</v>
      </c>
    </row>
    <row r="5455">
      <c r="A5455">
        <f>MOD(5455-1,101)</f>
        <v>0</v>
      </c>
    </row>
    <row r="5456">
      <c r="A5456">
        <f>MOD(5456-1,101)</f>
        <v>1</v>
      </c>
    </row>
    <row r="5457">
      <c r="A5457">
        <f>MOD(5457-1,101)</f>
        <v>2</v>
      </c>
    </row>
    <row r="5458">
      <c r="A5458">
        <f>MOD(5458-1,101)</f>
        <v>3</v>
      </c>
    </row>
    <row r="5459">
      <c r="A5459">
        <f>MOD(5459-1,101)</f>
        <v>4</v>
      </c>
    </row>
    <row r="5460">
      <c r="A5460">
        <f>MOD(5460-1,101)</f>
        <v>5</v>
      </c>
    </row>
    <row r="5461">
      <c r="A5461">
        <f>MOD(5461-1,101)</f>
        <v>6</v>
      </c>
    </row>
    <row r="5462">
      <c r="A5462">
        <f>MOD(5462-1,101)</f>
        <v>7</v>
      </c>
    </row>
    <row r="5463">
      <c r="A5463">
        <f>MOD(5463-1,101)</f>
        <v>8</v>
      </c>
    </row>
    <row r="5464">
      <c r="A5464">
        <f>MOD(5464-1,101)</f>
        <v>9</v>
      </c>
    </row>
    <row r="5465">
      <c r="A5465">
        <f>MOD(5465-1,101)</f>
        <v>10</v>
      </c>
    </row>
    <row r="5466">
      <c r="A5466">
        <f>MOD(5466-1,101)</f>
        <v>11</v>
      </c>
    </row>
    <row r="5467">
      <c r="A5467">
        <f>MOD(5467-1,101)</f>
        <v>12</v>
      </c>
    </row>
    <row r="5468">
      <c r="A5468">
        <f>MOD(5468-1,101)</f>
        <v>13</v>
      </c>
    </row>
    <row r="5469">
      <c r="A5469">
        <f>MOD(5469-1,101)</f>
        <v>14</v>
      </c>
    </row>
    <row r="5470">
      <c r="A5470">
        <f>MOD(5470-1,101)</f>
        <v>15</v>
      </c>
    </row>
    <row r="5471">
      <c r="A5471">
        <f>MOD(5471-1,101)</f>
        <v>16</v>
      </c>
    </row>
    <row r="5472">
      <c r="A5472">
        <f>MOD(5472-1,101)</f>
        <v>17</v>
      </c>
    </row>
    <row r="5473">
      <c r="A5473">
        <f>MOD(5473-1,101)</f>
        <v>18</v>
      </c>
    </row>
    <row r="5474">
      <c r="A5474">
        <f>MOD(5474-1,101)</f>
        <v>19</v>
      </c>
    </row>
    <row r="5475">
      <c r="A5475">
        <f>MOD(5475-1,101)</f>
        <v>20</v>
      </c>
    </row>
    <row r="5476">
      <c r="A5476">
        <f>MOD(5476-1,101)</f>
        <v>21</v>
      </c>
    </row>
    <row r="5477">
      <c r="A5477">
        <f>MOD(5477-1,101)</f>
        <v>22</v>
      </c>
    </row>
    <row r="5478">
      <c r="A5478">
        <f>MOD(5478-1,101)</f>
        <v>23</v>
      </c>
    </row>
    <row r="5479">
      <c r="A5479">
        <f>MOD(5479-1,101)</f>
        <v>24</v>
      </c>
    </row>
    <row r="5480">
      <c r="A5480">
        <f>MOD(5480-1,101)</f>
        <v>25</v>
      </c>
    </row>
    <row r="5481">
      <c r="A5481">
        <f>MOD(5481-1,101)</f>
        <v>26</v>
      </c>
    </row>
    <row r="5482">
      <c r="A5482">
        <f>MOD(5482-1,101)</f>
        <v>27</v>
      </c>
    </row>
    <row r="5483">
      <c r="A5483">
        <f>MOD(5483-1,101)</f>
        <v>28</v>
      </c>
    </row>
    <row r="5484">
      <c r="A5484">
        <f>MOD(5484-1,101)</f>
        <v>29</v>
      </c>
    </row>
    <row r="5485">
      <c r="A5485">
        <f>MOD(5485-1,101)</f>
        <v>30</v>
      </c>
    </row>
    <row r="5486">
      <c r="A5486">
        <f>MOD(5486-1,101)</f>
        <v>31</v>
      </c>
    </row>
    <row r="5487">
      <c r="A5487">
        <f>MOD(5487-1,101)</f>
        <v>32</v>
      </c>
    </row>
    <row r="5488">
      <c r="A5488">
        <f>MOD(5488-1,101)</f>
        <v>33</v>
      </c>
    </row>
    <row r="5489">
      <c r="A5489">
        <f>MOD(5489-1,101)</f>
        <v>34</v>
      </c>
    </row>
    <row r="5490">
      <c r="A5490">
        <f>MOD(5490-1,101)</f>
        <v>35</v>
      </c>
    </row>
    <row r="5491">
      <c r="A5491">
        <f>MOD(5491-1,101)</f>
        <v>36</v>
      </c>
    </row>
    <row r="5492">
      <c r="A5492">
        <f>MOD(5492-1,101)</f>
        <v>37</v>
      </c>
    </row>
    <row r="5493">
      <c r="A5493">
        <f>MOD(5493-1,101)</f>
        <v>38</v>
      </c>
    </row>
    <row r="5494">
      <c r="A5494">
        <f>MOD(5494-1,101)</f>
        <v>39</v>
      </c>
    </row>
    <row r="5495">
      <c r="A5495">
        <f>MOD(5495-1,101)</f>
        <v>40</v>
      </c>
    </row>
    <row r="5496">
      <c r="A5496">
        <f>MOD(5496-1,101)</f>
        <v>41</v>
      </c>
    </row>
    <row r="5497">
      <c r="A5497">
        <f>MOD(5497-1,101)</f>
        <v>42</v>
      </c>
    </row>
    <row r="5498">
      <c r="A5498">
        <f>MOD(5498-1,101)</f>
        <v>43</v>
      </c>
    </row>
    <row r="5499">
      <c r="A5499">
        <f>MOD(5499-1,101)</f>
        <v>44</v>
      </c>
    </row>
    <row r="5500">
      <c r="A5500">
        <f>MOD(5500-1,101)</f>
        <v>45</v>
      </c>
    </row>
    <row r="5501">
      <c r="A5501">
        <f>MOD(5501-1,101)</f>
        <v>46</v>
      </c>
    </row>
    <row r="5502">
      <c r="A5502">
        <f>MOD(5502-1,101)</f>
        <v>47</v>
      </c>
    </row>
    <row r="5503">
      <c r="A5503">
        <f>MOD(5503-1,101)</f>
        <v>48</v>
      </c>
    </row>
    <row r="5504">
      <c r="A5504">
        <f>MOD(5504-1,101)</f>
        <v>49</v>
      </c>
    </row>
    <row r="5505">
      <c r="A5505">
        <f>MOD(5505-1,101)</f>
        <v>50</v>
      </c>
    </row>
    <row r="5506">
      <c r="A5506">
        <f>MOD(5506-1,101)</f>
        <v>51</v>
      </c>
    </row>
    <row r="5507">
      <c r="A5507">
        <f>MOD(5507-1,101)</f>
        <v>52</v>
      </c>
    </row>
    <row r="5508">
      <c r="A5508">
        <f>MOD(5508-1,101)</f>
        <v>53</v>
      </c>
    </row>
    <row r="5509">
      <c r="A5509">
        <f>MOD(5509-1,101)</f>
        <v>54</v>
      </c>
    </row>
    <row r="5510">
      <c r="A5510">
        <f>MOD(5510-1,101)</f>
        <v>55</v>
      </c>
    </row>
    <row r="5511">
      <c r="A5511">
        <f>MOD(5511-1,101)</f>
        <v>56</v>
      </c>
    </row>
    <row r="5512">
      <c r="A5512">
        <f>MOD(5512-1,101)</f>
        <v>57</v>
      </c>
    </row>
    <row r="5513">
      <c r="A5513">
        <f>MOD(5513-1,101)</f>
        <v>58</v>
      </c>
    </row>
    <row r="5514">
      <c r="A5514">
        <f>MOD(5514-1,101)</f>
        <v>59</v>
      </c>
    </row>
    <row r="5515">
      <c r="A5515">
        <f>MOD(5515-1,101)</f>
        <v>60</v>
      </c>
    </row>
    <row r="5516">
      <c r="A5516">
        <f>MOD(5516-1,101)</f>
        <v>61</v>
      </c>
    </row>
    <row r="5517">
      <c r="A5517">
        <f>MOD(5517-1,101)</f>
        <v>62</v>
      </c>
    </row>
    <row r="5518">
      <c r="A5518">
        <f>MOD(5518-1,101)</f>
        <v>63</v>
      </c>
    </row>
    <row r="5519">
      <c r="A5519">
        <f>MOD(5519-1,101)</f>
        <v>64</v>
      </c>
    </row>
    <row r="5520">
      <c r="A5520">
        <f>MOD(5520-1,101)</f>
        <v>65</v>
      </c>
    </row>
    <row r="5521">
      <c r="A5521">
        <f>MOD(5521-1,101)</f>
        <v>66</v>
      </c>
    </row>
    <row r="5522">
      <c r="A5522">
        <f>MOD(5522-1,101)</f>
        <v>67</v>
      </c>
    </row>
    <row r="5523">
      <c r="A5523">
        <f>MOD(5523-1,101)</f>
        <v>68</v>
      </c>
    </row>
    <row r="5524">
      <c r="A5524">
        <f>MOD(5524-1,101)</f>
        <v>69</v>
      </c>
    </row>
    <row r="5525">
      <c r="A5525">
        <f>MOD(5525-1,101)</f>
        <v>70</v>
      </c>
    </row>
    <row r="5526">
      <c r="A5526">
        <f>MOD(5526-1,101)</f>
        <v>71</v>
      </c>
    </row>
    <row r="5527">
      <c r="A5527">
        <f>MOD(5527-1,101)</f>
        <v>72</v>
      </c>
    </row>
    <row r="5528">
      <c r="A5528">
        <f>MOD(5528-1,101)</f>
        <v>73</v>
      </c>
    </row>
    <row r="5529">
      <c r="A5529">
        <f>MOD(5529-1,101)</f>
        <v>74</v>
      </c>
    </row>
    <row r="5530">
      <c r="A5530">
        <f>MOD(5530-1,101)</f>
        <v>75</v>
      </c>
    </row>
    <row r="5531">
      <c r="A5531">
        <f>MOD(5531-1,101)</f>
        <v>76</v>
      </c>
    </row>
    <row r="5532">
      <c r="A5532">
        <f>MOD(5532-1,101)</f>
        <v>77</v>
      </c>
    </row>
    <row r="5533">
      <c r="A5533">
        <f>MOD(5533-1,101)</f>
        <v>78</v>
      </c>
    </row>
    <row r="5534">
      <c r="A5534">
        <f>MOD(5534-1,101)</f>
        <v>79</v>
      </c>
    </row>
    <row r="5535">
      <c r="A5535">
        <f>MOD(5535-1,101)</f>
        <v>80</v>
      </c>
    </row>
    <row r="5536">
      <c r="A5536">
        <f>MOD(5536-1,101)</f>
        <v>81</v>
      </c>
    </row>
    <row r="5537">
      <c r="A5537">
        <f>MOD(5537-1,101)</f>
        <v>82</v>
      </c>
    </row>
    <row r="5538">
      <c r="A5538">
        <f>MOD(5538-1,101)</f>
        <v>83</v>
      </c>
    </row>
    <row r="5539">
      <c r="A5539">
        <f>MOD(5539-1,101)</f>
        <v>84</v>
      </c>
    </row>
    <row r="5540">
      <c r="A5540">
        <f>MOD(5540-1,101)</f>
        <v>85</v>
      </c>
    </row>
    <row r="5541">
      <c r="A5541">
        <f>MOD(5541-1,101)</f>
        <v>86</v>
      </c>
    </row>
    <row r="5542">
      <c r="A5542">
        <f>MOD(5542-1,101)</f>
        <v>87</v>
      </c>
    </row>
    <row r="5543">
      <c r="A5543">
        <f>MOD(5543-1,101)</f>
        <v>88</v>
      </c>
    </row>
    <row r="5544">
      <c r="A5544">
        <f>MOD(5544-1,101)</f>
        <v>89</v>
      </c>
    </row>
    <row r="5545">
      <c r="A5545">
        <f>MOD(5545-1,101)</f>
        <v>90</v>
      </c>
    </row>
    <row r="5546">
      <c r="A5546">
        <f>MOD(5546-1,101)</f>
        <v>91</v>
      </c>
    </row>
    <row r="5547">
      <c r="A5547">
        <f>MOD(5547-1,101)</f>
        <v>92</v>
      </c>
    </row>
    <row r="5548">
      <c r="A5548">
        <f>MOD(5548-1,101)</f>
        <v>93</v>
      </c>
    </row>
    <row r="5549">
      <c r="A5549">
        <f>MOD(5549-1,101)</f>
        <v>94</v>
      </c>
    </row>
    <row r="5550">
      <c r="A5550">
        <f>MOD(5550-1,101)</f>
        <v>95</v>
      </c>
    </row>
    <row r="5551">
      <c r="A5551">
        <f>MOD(5551-1,101)</f>
        <v>96</v>
      </c>
    </row>
    <row r="5552">
      <c r="A5552">
        <f>MOD(5552-1,101)</f>
        <v>97</v>
      </c>
    </row>
    <row r="5553">
      <c r="A5553">
        <f>MOD(5553-1,101)</f>
        <v>98</v>
      </c>
    </row>
    <row r="5554">
      <c r="A5554">
        <f>MOD(5554-1,101)</f>
        <v>99</v>
      </c>
    </row>
    <row r="5555">
      <c r="A5555">
        <f>MOD(5555-1,101)</f>
        <v>100</v>
      </c>
    </row>
    <row r="5556">
      <c r="A5556">
        <f>MOD(5556-1,101)</f>
        <v>0</v>
      </c>
    </row>
    <row r="5557">
      <c r="A5557">
        <f>MOD(5557-1,101)</f>
        <v>1</v>
      </c>
    </row>
    <row r="5558">
      <c r="A5558">
        <f>MOD(5558-1,101)</f>
        <v>2</v>
      </c>
    </row>
    <row r="5559">
      <c r="A5559">
        <f>MOD(5559-1,101)</f>
        <v>3</v>
      </c>
    </row>
    <row r="5560">
      <c r="A5560">
        <f>MOD(5560-1,101)</f>
        <v>4</v>
      </c>
    </row>
    <row r="5561">
      <c r="A5561">
        <f>MOD(5561-1,101)</f>
        <v>5</v>
      </c>
    </row>
    <row r="5562">
      <c r="A5562">
        <f>MOD(5562-1,101)</f>
        <v>6</v>
      </c>
    </row>
    <row r="5563">
      <c r="A5563">
        <f>MOD(5563-1,101)</f>
        <v>7</v>
      </c>
    </row>
    <row r="5564">
      <c r="A5564">
        <f>MOD(5564-1,101)</f>
        <v>8</v>
      </c>
    </row>
    <row r="5565">
      <c r="A5565">
        <f>MOD(5565-1,101)</f>
        <v>9</v>
      </c>
    </row>
    <row r="5566">
      <c r="A5566">
        <f>MOD(5566-1,101)</f>
        <v>10</v>
      </c>
    </row>
    <row r="5567">
      <c r="A5567">
        <f>MOD(5567-1,101)</f>
        <v>11</v>
      </c>
    </row>
    <row r="5568">
      <c r="A5568">
        <f>MOD(5568-1,101)</f>
        <v>12</v>
      </c>
    </row>
    <row r="5569">
      <c r="A5569">
        <f>MOD(5569-1,101)</f>
        <v>13</v>
      </c>
    </row>
    <row r="5570">
      <c r="A5570">
        <f>MOD(5570-1,101)</f>
        <v>14</v>
      </c>
    </row>
    <row r="5571">
      <c r="A5571">
        <f>MOD(5571-1,101)</f>
        <v>15</v>
      </c>
    </row>
    <row r="5572">
      <c r="A5572">
        <f>MOD(5572-1,101)</f>
        <v>16</v>
      </c>
    </row>
    <row r="5573">
      <c r="A5573">
        <f>MOD(5573-1,101)</f>
        <v>17</v>
      </c>
    </row>
    <row r="5574">
      <c r="A5574">
        <f>MOD(5574-1,101)</f>
        <v>18</v>
      </c>
    </row>
    <row r="5575">
      <c r="A5575">
        <f>MOD(5575-1,101)</f>
        <v>19</v>
      </c>
    </row>
    <row r="5576">
      <c r="A5576">
        <f>MOD(5576-1,101)</f>
        <v>20</v>
      </c>
    </row>
    <row r="5577">
      <c r="A5577">
        <f>MOD(5577-1,101)</f>
        <v>21</v>
      </c>
    </row>
    <row r="5578">
      <c r="A5578">
        <f>MOD(5578-1,101)</f>
        <v>22</v>
      </c>
    </row>
    <row r="5579">
      <c r="A5579">
        <f>MOD(5579-1,101)</f>
        <v>23</v>
      </c>
    </row>
    <row r="5580">
      <c r="A5580">
        <f>MOD(5580-1,101)</f>
        <v>24</v>
      </c>
    </row>
    <row r="5581">
      <c r="A5581">
        <f>MOD(5581-1,101)</f>
        <v>25</v>
      </c>
    </row>
    <row r="5582">
      <c r="A5582">
        <f>MOD(5582-1,101)</f>
        <v>26</v>
      </c>
    </row>
    <row r="5583">
      <c r="A5583">
        <f>MOD(5583-1,101)</f>
        <v>27</v>
      </c>
    </row>
    <row r="5584">
      <c r="A5584">
        <f>MOD(5584-1,101)</f>
        <v>28</v>
      </c>
    </row>
    <row r="5585">
      <c r="A5585">
        <f>MOD(5585-1,101)</f>
        <v>29</v>
      </c>
    </row>
    <row r="5586">
      <c r="A5586">
        <f>MOD(5586-1,101)</f>
        <v>30</v>
      </c>
    </row>
    <row r="5587">
      <c r="A5587">
        <f>MOD(5587-1,101)</f>
        <v>31</v>
      </c>
    </row>
    <row r="5588">
      <c r="A5588">
        <f>MOD(5588-1,101)</f>
        <v>32</v>
      </c>
    </row>
    <row r="5589">
      <c r="A5589">
        <f>MOD(5589-1,101)</f>
        <v>33</v>
      </c>
    </row>
    <row r="5590">
      <c r="A5590">
        <f>MOD(5590-1,101)</f>
        <v>34</v>
      </c>
    </row>
    <row r="5591">
      <c r="A5591">
        <f>MOD(5591-1,101)</f>
        <v>35</v>
      </c>
    </row>
    <row r="5592">
      <c r="A5592">
        <f>MOD(5592-1,101)</f>
        <v>36</v>
      </c>
    </row>
    <row r="5593">
      <c r="A5593">
        <f>MOD(5593-1,101)</f>
        <v>37</v>
      </c>
    </row>
    <row r="5594">
      <c r="A5594">
        <f>MOD(5594-1,101)</f>
        <v>38</v>
      </c>
    </row>
    <row r="5595">
      <c r="A5595">
        <f>MOD(5595-1,101)</f>
        <v>39</v>
      </c>
    </row>
    <row r="5596">
      <c r="A5596">
        <f>MOD(5596-1,101)</f>
        <v>40</v>
      </c>
    </row>
    <row r="5597">
      <c r="A5597">
        <f>MOD(5597-1,101)</f>
        <v>41</v>
      </c>
    </row>
    <row r="5598">
      <c r="A5598">
        <f>MOD(5598-1,101)</f>
        <v>42</v>
      </c>
    </row>
    <row r="5599">
      <c r="A5599">
        <f>MOD(5599-1,101)</f>
        <v>43</v>
      </c>
    </row>
    <row r="5600">
      <c r="A5600">
        <f>MOD(5600-1,101)</f>
        <v>44</v>
      </c>
    </row>
    <row r="5601">
      <c r="A5601">
        <f>MOD(5601-1,101)</f>
        <v>45</v>
      </c>
    </row>
    <row r="5602">
      <c r="A5602">
        <f>MOD(5602-1,101)</f>
        <v>46</v>
      </c>
    </row>
    <row r="5603">
      <c r="A5603">
        <f>MOD(5603-1,101)</f>
        <v>47</v>
      </c>
    </row>
    <row r="5604">
      <c r="A5604">
        <f>MOD(5604-1,101)</f>
        <v>48</v>
      </c>
    </row>
    <row r="5605">
      <c r="A5605">
        <f>MOD(5605-1,101)</f>
        <v>49</v>
      </c>
    </row>
    <row r="5606">
      <c r="A5606">
        <f>MOD(5606-1,101)</f>
        <v>50</v>
      </c>
    </row>
    <row r="5607">
      <c r="A5607">
        <f>MOD(5607-1,101)</f>
        <v>51</v>
      </c>
    </row>
    <row r="5608">
      <c r="A5608">
        <f>MOD(5608-1,101)</f>
        <v>52</v>
      </c>
    </row>
    <row r="5609">
      <c r="A5609">
        <f>MOD(5609-1,101)</f>
        <v>53</v>
      </c>
    </row>
    <row r="5610">
      <c r="A5610">
        <f>MOD(5610-1,101)</f>
        <v>54</v>
      </c>
    </row>
    <row r="5611">
      <c r="A5611">
        <f>MOD(5611-1,101)</f>
        <v>55</v>
      </c>
    </row>
    <row r="5612">
      <c r="A5612">
        <f>MOD(5612-1,101)</f>
        <v>56</v>
      </c>
    </row>
    <row r="5613">
      <c r="A5613">
        <f>MOD(5613-1,101)</f>
        <v>57</v>
      </c>
    </row>
    <row r="5614">
      <c r="A5614">
        <f>MOD(5614-1,101)</f>
        <v>58</v>
      </c>
    </row>
    <row r="5615">
      <c r="A5615">
        <f>MOD(5615-1,101)</f>
        <v>59</v>
      </c>
    </row>
    <row r="5616">
      <c r="A5616">
        <f>MOD(5616-1,101)</f>
        <v>60</v>
      </c>
    </row>
    <row r="5617">
      <c r="A5617">
        <f>MOD(5617-1,101)</f>
        <v>61</v>
      </c>
    </row>
    <row r="5618">
      <c r="A5618">
        <f>MOD(5618-1,101)</f>
        <v>62</v>
      </c>
    </row>
    <row r="5619">
      <c r="A5619">
        <f>MOD(5619-1,101)</f>
        <v>63</v>
      </c>
    </row>
    <row r="5620">
      <c r="A5620">
        <f>MOD(5620-1,101)</f>
        <v>64</v>
      </c>
    </row>
    <row r="5621">
      <c r="A5621">
        <f>MOD(5621-1,101)</f>
        <v>65</v>
      </c>
    </row>
    <row r="5622">
      <c r="A5622">
        <f>MOD(5622-1,101)</f>
        <v>66</v>
      </c>
    </row>
    <row r="5623">
      <c r="A5623">
        <f>MOD(5623-1,101)</f>
        <v>67</v>
      </c>
    </row>
    <row r="5624">
      <c r="A5624">
        <f>MOD(5624-1,101)</f>
        <v>68</v>
      </c>
    </row>
    <row r="5625">
      <c r="A5625">
        <f>MOD(5625-1,101)</f>
        <v>69</v>
      </c>
    </row>
    <row r="5626">
      <c r="A5626">
        <f>MOD(5626-1,101)</f>
        <v>70</v>
      </c>
    </row>
    <row r="5627">
      <c r="A5627">
        <f>MOD(5627-1,101)</f>
        <v>71</v>
      </c>
    </row>
    <row r="5628">
      <c r="A5628">
        <f>MOD(5628-1,101)</f>
        <v>72</v>
      </c>
    </row>
    <row r="5629">
      <c r="A5629">
        <f>MOD(5629-1,101)</f>
        <v>73</v>
      </c>
    </row>
    <row r="5630">
      <c r="A5630">
        <f>MOD(5630-1,101)</f>
        <v>74</v>
      </c>
    </row>
    <row r="5631">
      <c r="A5631">
        <f>MOD(5631-1,101)</f>
        <v>75</v>
      </c>
    </row>
    <row r="5632">
      <c r="A5632">
        <f>MOD(5632-1,101)</f>
        <v>76</v>
      </c>
    </row>
    <row r="5633">
      <c r="A5633">
        <f>MOD(5633-1,101)</f>
        <v>77</v>
      </c>
    </row>
    <row r="5634">
      <c r="A5634">
        <f>MOD(5634-1,101)</f>
        <v>78</v>
      </c>
    </row>
    <row r="5635">
      <c r="A5635">
        <f>MOD(5635-1,101)</f>
        <v>79</v>
      </c>
    </row>
    <row r="5636">
      <c r="A5636">
        <f>MOD(5636-1,101)</f>
        <v>80</v>
      </c>
    </row>
    <row r="5637">
      <c r="A5637">
        <f>MOD(5637-1,101)</f>
        <v>81</v>
      </c>
    </row>
    <row r="5638">
      <c r="A5638">
        <f>MOD(5638-1,101)</f>
        <v>82</v>
      </c>
    </row>
    <row r="5639">
      <c r="A5639">
        <f>MOD(5639-1,101)</f>
        <v>83</v>
      </c>
    </row>
    <row r="5640">
      <c r="A5640">
        <f>MOD(5640-1,101)</f>
        <v>84</v>
      </c>
    </row>
    <row r="5641">
      <c r="A5641">
        <f>MOD(5641-1,101)</f>
        <v>85</v>
      </c>
    </row>
    <row r="5642">
      <c r="A5642">
        <f>MOD(5642-1,101)</f>
        <v>86</v>
      </c>
    </row>
    <row r="5643">
      <c r="A5643">
        <f>MOD(5643-1,101)</f>
        <v>87</v>
      </c>
    </row>
    <row r="5644">
      <c r="A5644">
        <f>MOD(5644-1,101)</f>
        <v>88</v>
      </c>
    </row>
    <row r="5645">
      <c r="A5645">
        <f>MOD(5645-1,101)</f>
        <v>89</v>
      </c>
    </row>
    <row r="5646">
      <c r="A5646">
        <f>MOD(5646-1,101)</f>
        <v>90</v>
      </c>
    </row>
    <row r="5647">
      <c r="A5647">
        <f>MOD(5647-1,101)</f>
        <v>91</v>
      </c>
    </row>
    <row r="5648">
      <c r="A5648">
        <f>MOD(5648-1,101)</f>
        <v>92</v>
      </c>
    </row>
    <row r="5649">
      <c r="A5649">
        <f>MOD(5649-1,101)</f>
        <v>93</v>
      </c>
    </row>
    <row r="5650">
      <c r="A5650">
        <f>MOD(5650-1,101)</f>
        <v>94</v>
      </c>
    </row>
    <row r="5651">
      <c r="A5651">
        <f>MOD(5651-1,101)</f>
        <v>95</v>
      </c>
    </row>
    <row r="5652">
      <c r="A5652">
        <f>MOD(5652-1,101)</f>
        <v>96</v>
      </c>
    </row>
    <row r="5653">
      <c r="A5653">
        <f>MOD(5653-1,101)</f>
        <v>97</v>
      </c>
    </row>
    <row r="5654">
      <c r="A5654">
        <f>MOD(5654-1,101)</f>
        <v>98</v>
      </c>
    </row>
    <row r="5655">
      <c r="A5655">
        <f>MOD(5655-1,101)</f>
        <v>99</v>
      </c>
    </row>
    <row r="5656">
      <c r="A5656">
        <f>MOD(5656-1,101)</f>
        <v>100</v>
      </c>
    </row>
    <row r="5657">
      <c r="A5657">
        <f>MOD(5657-1,101)</f>
        <v>0</v>
      </c>
    </row>
    <row r="5658">
      <c r="A5658">
        <f>MOD(5658-1,101)</f>
        <v>1</v>
      </c>
    </row>
    <row r="5659">
      <c r="A5659">
        <f>MOD(5659-1,101)</f>
        <v>2</v>
      </c>
    </row>
    <row r="5660">
      <c r="A5660">
        <f>MOD(5660-1,101)</f>
        <v>3</v>
      </c>
    </row>
    <row r="5661">
      <c r="A5661">
        <f>MOD(5661-1,101)</f>
        <v>4</v>
      </c>
    </row>
    <row r="5662">
      <c r="A5662">
        <f>MOD(5662-1,101)</f>
        <v>5</v>
      </c>
    </row>
    <row r="5663">
      <c r="A5663">
        <f>MOD(5663-1,101)</f>
        <v>6</v>
      </c>
    </row>
    <row r="5664">
      <c r="A5664">
        <f>MOD(5664-1,101)</f>
        <v>7</v>
      </c>
    </row>
    <row r="5665">
      <c r="A5665">
        <f>MOD(5665-1,101)</f>
        <v>8</v>
      </c>
    </row>
    <row r="5666">
      <c r="A5666">
        <f>MOD(5666-1,101)</f>
        <v>9</v>
      </c>
    </row>
    <row r="5667">
      <c r="A5667">
        <f>MOD(5667-1,101)</f>
        <v>10</v>
      </c>
    </row>
    <row r="5668">
      <c r="A5668">
        <f>MOD(5668-1,101)</f>
        <v>11</v>
      </c>
    </row>
    <row r="5669">
      <c r="A5669">
        <f>MOD(5669-1,101)</f>
        <v>12</v>
      </c>
    </row>
    <row r="5670">
      <c r="A5670">
        <f>MOD(5670-1,101)</f>
        <v>13</v>
      </c>
    </row>
    <row r="5671">
      <c r="A5671">
        <f>MOD(5671-1,101)</f>
        <v>14</v>
      </c>
    </row>
    <row r="5672">
      <c r="A5672">
        <f>MOD(5672-1,101)</f>
        <v>15</v>
      </c>
    </row>
    <row r="5673">
      <c r="A5673">
        <f>MOD(5673-1,101)</f>
        <v>16</v>
      </c>
    </row>
    <row r="5674">
      <c r="A5674">
        <f>MOD(5674-1,101)</f>
        <v>17</v>
      </c>
    </row>
    <row r="5675">
      <c r="A5675">
        <f>MOD(5675-1,101)</f>
        <v>18</v>
      </c>
    </row>
    <row r="5676">
      <c r="A5676">
        <f>MOD(5676-1,101)</f>
        <v>19</v>
      </c>
    </row>
    <row r="5677">
      <c r="A5677">
        <f>MOD(5677-1,101)</f>
        <v>20</v>
      </c>
    </row>
    <row r="5678">
      <c r="A5678">
        <f>MOD(5678-1,101)</f>
        <v>21</v>
      </c>
    </row>
    <row r="5679">
      <c r="A5679">
        <f>MOD(5679-1,101)</f>
        <v>22</v>
      </c>
    </row>
    <row r="5680">
      <c r="A5680">
        <f>MOD(5680-1,101)</f>
        <v>23</v>
      </c>
    </row>
    <row r="5681">
      <c r="A5681">
        <f>MOD(5681-1,101)</f>
        <v>24</v>
      </c>
    </row>
    <row r="5682">
      <c r="A5682">
        <f>MOD(5682-1,101)</f>
        <v>25</v>
      </c>
    </row>
    <row r="5683">
      <c r="A5683">
        <f>MOD(5683-1,101)</f>
        <v>26</v>
      </c>
    </row>
    <row r="5684">
      <c r="A5684">
        <f>MOD(5684-1,101)</f>
        <v>27</v>
      </c>
    </row>
    <row r="5685">
      <c r="A5685">
        <f>MOD(5685-1,101)</f>
        <v>28</v>
      </c>
    </row>
    <row r="5686">
      <c r="A5686">
        <f>MOD(5686-1,101)</f>
        <v>29</v>
      </c>
    </row>
    <row r="5687">
      <c r="A5687">
        <f>MOD(5687-1,101)</f>
        <v>30</v>
      </c>
    </row>
    <row r="5688">
      <c r="A5688">
        <f>MOD(5688-1,101)</f>
        <v>31</v>
      </c>
    </row>
    <row r="5689">
      <c r="A5689">
        <f>MOD(5689-1,101)</f>
        <v>32</v>
      </c>
    </row>
    <row r="5690">
      <c r="A5690">
        <f>MOD(5690-1,101)</f>
        <v>33</v>
      </c>
    </row>
    <row r="5691">
      <c r="A5691">
        <f>MOD(5691-1,101)</f>
        <v>34</v>
      </c>
    </row>
    <row r="5692">
      <c r="A5692">
        <f>MOD(5692-1,101)</f>
        <v>35</v>
      </c>
    </row>
    <row r="5693">
      <c r="A5693">
        <f>MOD(5693-1,101)</f>
        <v>36</v>
      </c>
    </row>
    <row r="5694">
      <c r="A5694">
        <f>MOD(5694-1,101)</f>
        <v>37</v>
      </c>
    </row>
    <row r="5695">
      <c r="A5695">
        <f>MOD(5695-1,101)</f>
        <v>38</v>
      </c>
    </row>
    <row r="5696">
      <c r="A5696">
        <f>MOD(5696-1,101)</f>
        <v>39</v>
      </c>
    </row>
    <row r="5697">
      <c r="A5697">
        <f>MOD(5697-1,101)</f>
        <v>40</v>
      </c>
    </row>
    <row r="5698">
      <c r="A5698">
        <f>MOD(5698-1,101)</f>
        <v>41</v>
      </c>
    </row>
    <row r="5699">
      <c r="A5699">
        <f>MOD(5699-1,101)</f>
        <v>42</v>
      </c>
    </row>
    <row r="5700">
      <c r="A5700">
        <f>MOD(5700-1,101)</f>
        <v>43</v>
      </c>
    </row>
    <row r="5701">
      <c r="A5701">
        <f>MOD(5701-1,101)</f>
        <v>44</v>
      </c>
    </row>
    <row r="5702">
      <c r="A5702">
        <f>MOD(5702-1,101)</f>
        <v>45</v>
      </c>
    </row>
    <row r="5703">
      <c r="A5703">
        <f>MOD(5703-1,101)</f>
        <v>46</v>
      </c>
    </row>
    <row r="5704">
      <c r="A5704">
        <f>MOD(5704-1,101)</f>
        <v>47</v>
      </c>
    </row>
    <row r="5705">
      <c r="A5705">
        <f>MOD(5705-1,101)</f>
        <v>48</v>
      </c>
    </row>
    <row r="5706">
      <c r="A5706">
        <f>MOD(5706-1,101)</f>
        <v>49</v>
      </c>
    </row>
    <row r="5707">
      <c r="A5707">
        <f>MOD(5707-1,101)</f>
        <v>50</v>
      </c>
    </row>
    <row r="5708">
      <c r="A5708">
        <f>MOD(5708-1,101)</f>
        <v>51</v>
      </c>
    </row>
    <row r="5709">
      <c r="A5709">
        <f>MOD(5709-1,101)</f>
        <v>52</v>
      </c>
    </row>
    <row r="5710">
      <c r="A5710">
        <f>MOD(5710-1,101)</f>
        <v>53</v>
      </c>
    </row>
    <row r="5711">
      <c r="A5711">
        <f>MOD(5711-1,101)</f>
        <v>54</v>
      </c>
    </row>
    <row r="5712">
      <c r="A5712">
        <f>MOD(5712-1,101)</f>
        <v>55</v>
      </c>
    </row>
    <row r="5713">
      <c r="A5713">
        <f>MOD(5713-1,101)</f>
        <v>56</v>
      </c>
    </row>
    <row r="5714">
      <c r="A5714">
        <f>MOD(5714-1,101)</f>
        <v>57</v>
      </c>
    </row>
    <row r="5715">
      <c r="A5715">
        <f>MOD(5715-1,101)</f>
        <v>58</v>
      </c>
    </row>
    <row r="5716">
      <c r="A5716">
        <f>MOD(5716-1,101)</f>
        <v>59</v>
      </c>
    </row>
    <row r="5717">
      <c r="A5717">
        <f>MOD(5717-1,101)</f>
        <v>60</v>
      </c>
    </row>
    <row r="5718">
      <c r="A5718">
        <f>MOD(5718-1,101)</f>
        <v>61</v>
      </c>
    </row>
    <row r="5719">
      <c r="A5719">
        <f>MOD(5719-1,101)</f>
        <v>62</v>
      </c>
    </row>
    <row r="5720">
      <c r="A5720">
        <f>MOD(5720-1,101)</f>
        <v>63</v>
      </c>
    </row>
    <row r="5721">
      <c r="A5721">
        <f>MOD(5721-1,101)</f>
        <v>64</v>
      </c>
    </row>
    <row r="5722">
      <c r="A5722">
        <f>MOD(5722-1,101)</f>
        <v>65</v>
      </c>
    </row>
    <row r="5723">
      <c r="A5723">
        <f>MOD(5723-1,101)</f>
        <v>66</v>
      </c>
    </row>
    <row r="5724">
      <c r="A5724">
        <f>MOD(5724-1,101)</f>
        <v>67</v>
      </c>
    </row>
    <row r="5725">
      <c r="A5725">
        <f>MOD(5725-1,101)</f>
        <v>68</v>
      </c>
    </row>
    <row r="5726">
      <c r="A5726">
        <f>MOD(5726-1,101)</f>
        <v>69</v>
      </c>
    </row>
    <row r="5727">
      <c r="A5727">
        <f>MOD(5727-1,101)</f>
        <v>70</v>
      </c>
    </row>
    <row r="5728">
      <c r="A5728">
        <f>MOD(5728-1,101)</f>
        <v>71</v>
      </c>
    </row>
    <row r="5729">
      <c r="A5729">
        <f>MOD(5729-1,101)</f>
        <v>72</v>
      </c>
    </row>
    <row r="5730">
      <c r="A5730">
        <f>MOD(5730-1,101)</f>
        <v>73</v>
      </c>
    </row>
    <row r="5731">
      <c r="A5731">
        <f>MOD(5731-1,101)</f>
        <v>74</v>
      </c>
    </row>
    <row r="5732">
      <c r="A5732">
        <f>MOD(5732-1,101)</f>
        <v>75</v>
      </c>
    </row>
    <row r="5733">
      <c r="A5733">
        <f>MOD(5733-1,101)</f>
        <v>76</v>
      </c>
    </row>
    <row r="5734">
      <c r="A5734">
        <f>MOD(5734-1,101)</f>
        <v>77</v>
      </c>
    </row>
    <row r="5735">
      <c r="A5735">
        <f>MOD(5735-1,101)</f>
        <v>78</v>
      </c>
    </row>
    <row r="5736">
      <c r="A5736">
        <f>MOD(5736-1,101)</f>
        <v>79</v>
      </c>
    </row>
    <row r="5737">
      <c r="A5737">
        <f>MOD(5737-1,101)</f>
        <v>80</v>
      </c>
    </row>
    <row r="5738">
      <c r="A5738">
        <f>MOD(5738-1,101)</f>
        <v>81</v>
      </c>
    </row>
    <row r="5739">
      <c r="A5739">
        <f>MOD(5739-1,101)</f>
        <v>82</v>
      </c>
    </row>
    <row r="5740">
      <c r="A5740">
        <f>MOD(5740-1,101)</f>
        <v>83</v>
      </c>
    </row>
    <row r="5741">
      <c r="A5741">
        <f>MOD(5741-1,101)</f>
        <v>84</v>
      </c>
    </row>
    <row r="5742">
      <c r="A5742">
        <f>MOD(5742-1,101)</f>
        <v>85</v>
      </c>
    </row>
    <row r="5743">
      <c r="A5743">
        <f>MOD(5743-1,101)</f>
        <v>86</v>
      </c>
    </row>
    <row r="5744">
      <c r="A5744">
        <f>MOD(5744-1,101)</f>
        <v>87</v>
      </c>
    </row>
    <row r="5745">
      <c r="A5745">
        <f>MOD(5745-1,101)</f>
        <v>88</v>
      </c>
    </row>
    <row r="5746">
      <c r="A5746">
        <f>MOD(5746-1,101)</f>
        <v>89</v>
      </c>
    </row>
    <row r="5747">
      <c r="A5747">
        <f>MOD(5747-1,101)</f>
        <v>90</v>
      </c>
    </row>
    <row r="5748">
      <c r="A5748">
        <f>MOD(5748-1,101)</f>
        <v>91</v>
      </c>
    </row>
    <row r="5749">
      <c r="A5749">
        <f>MOD(5749-1,101)</f>
        <v>92</v>
      </c>
    </row>
    <row r="5750">
      <c r="A5750">
        <f>MOD(5750-1,101)</f>
        <v>93</v>
      </c>
    </row>
    <row r="5751">
      <c r="A5751">
        <f>MOD(5751-1,101)</f>
        <v>94</v>
      </c>
    </row>
    <row r="5752">
      <c r="A5752">
        <f>MOD(5752-1,101)</f>
        <v>95</v>
      </c>
    </row>
    <row r="5753">
      <c r="A5753">
        <f>MOD(5753-1,101)</f>
        <v>96</v>
      </c>
    </row>
    <row r="5754">
      <c r="A5754">
        <f>MOD(5754-1,101)</f>
        <v>97</v>
      </c>
    </row>
    <row r="5755">
      <c r="A5755">
        <f>MOD(5755-1,101)</f>
        <v>98</v>
      </c>
    </row>
    <row r="5756">
      <c r="A5756">
        <f>MOD(5756-1,101)</f>
        <v>99</v>
      </c>
    </row>
    <row r="5757">
      <c r="A5757">
        <f>MOD(5757-1,101)</f>
        <v>100</v>
      </c>
    </row>
    <row r="5758">
      <c r="A5758">
        <f>MOD(5758-1,101)</f>
        <v>0</v>
      </c>
    </row>
    <row r="5759">
      <c r="A5759">
        <f>MOD(5759-1,101)</f>
        <v>1</v>
      </c>
    </row>
    <row r="5760">
      <c r="A5760">
        <f>MOD(5760-1,101)</f>
        <v>2</v>
      </c>
    </row>
    <row r="5761">
      <c r="A5761">
        <f>MOD(5761-1,101)</f>
        <v>3</v>
      </c>
    </row>
    <row r="5762">
      <c r="A5762">
        <f>MOD(5762-1,101)</f>
        <v>4</v>
      </c>
    </row>
    <row r="5763">
      <c r="A5763">
        <f>MOD(5763-1,101)</f>
        <v>5</v>
      </c>
    </row>
    <row r="5764">
      <c r="A5764">
        <f>MOD(5764-1,101)</f>
        <v>6</v>
      </c>
    </row>
    <row r="5765">
      <c r="A5765">
        <f>MOD(5765-1,101)</f>
        <v>7</v>
      </c>
    </row>
    <row r="5766">
      <c r="A5766">
        <f>MOD(5766-1,101)</f>
        <v>8</v>
      </c>
    </row>
    <row r="5767">
      <c r="A5767">
        <f>MOD(5767-1,101)</f>
        <v>9</v>
      </c>
    </row>
    <row r="5768">
      <c r="A5768">
        <f>MOD(5768-1,101)</f>
        <v>10</v>
      </c>
    </row>
    <row r="5769">
      <c r="A5769">
        <f>MOD(5769-1,101)</f>
        <v>11</v>
      </c>
    </row>
    <row r="5770">
      <c r="A5770">
        <f>MOD(5770-1,101)</f>
        <v>12</v>
      </c>
    </row>
    <row r="5771">
      <c r="A5771">
        <f>MOD(5771-1,101)</f>
        <v>13</v>
      </c>
    </row>
    <row r="5772">
      <c r="A5772">
        <f>MOD(5772-1,101)</f>
        <v>14</v>
      </c>
    </row>
    <row r="5773">
      <c r="A5773">
        <f>MOD(5773-1,101)</f>
        <v>15</v>
      </c>
    </row>
    <row r="5774">
      <c r="A5774">
        <f>MOD(5774-1,101)</f>
        <v>16</v>
      </c>
    </row>
    <row r="5775">
      <c r="A5775">
        <f>MOD(5775-1,101)</f>
        <v>17</v>
      </c>
    </row>
    <row r="5776">
      <c r="A5776">
        <f>MOD(5776-1,101)</f>
        <v>18</v>
      </c>
    </row>
    <row r="5777">
      <c r="A5777">
        <f>MOD(5777-1,101)</f>
        <v>19</v>
      </c>
    </row>
    <row r="5778">
      <c r="A5778">
        <f>MOD(5778-1,101)</f>
        <v>20</v>
      </c>
    </row>
    <row r="5779">
      <c r="A5779">
        <f>MOD(5779-1,101)</f>
        <v>21</v>
      </c>
    </row>
    <row r="5780">
      <c r="A5780">
        <f>MOD(5780-1,101)</f>
        <v>22</v>
      </c>
    </row>
    <row r="5781">
      <c r="A5781">
        <f>MOD(5781-1,101)</f>
        <v>23</v>
      </c>
    </row>
    <row r="5782">
      <c r="A5782">
        <f>MOD(5782-1,101)</f>
        <v>24</v>
      </c>
    </row>
    <row r="5783">
      <c r="A5783">
        <f>MOD(5783-1,101)</f>
        <v>25</v>
      </c>
    </row>
    <row r="5784">
      <c r="A5784">
        <f>MOD(5784-1,101)</f>
        <v>26</v>
      </c>
    </row>
    <row r="5785">
      <c r="A5785">
        <f>MOD(5785-1,101)</f>
        <v>27</v>
      </c>
    </row>
    <row r="5786">
      <c r="A5786">
        <f>MOD(5786-1,101)</f>
        <v>28</v>
      </c>
    </row>
    <row r="5787">
      <c r="A5787">
        <f>MOD(5787-1,101)</f>
        <v>29</v>
      </c>
    </row>
    <row r="5788">
      <c r="A5788">
        <f>MOD(5788-1,101)</f>
        <v>30</v>
      </c>
    </row>
    <row r="5789">
      <c r="A5789">
        <f>MOD(5789-1,101)</f>
        <v>31</v>
      </c>
    </row>
    <row r="5790">
      <c r="A5790">
        <f>MOD(5790-1,101)</f>
        <v>32</v>
      </c>
    </row>
    <row r="5791">
      <c r="A5791">
        <f>MOD(5791-1,101)</f>
        <v>33</v>
      </c>
    </row>
    <row r="5792">
      <c r="A5792">
        <f>MOD(5792-1,101)</f>
        <v>34</v>
      </c>
    </row>
    <row r="5793">
      <c r="A5793">
        <f>MOD(5793-1,101)</f>
        <v>35</v>
      </c>
    </row>
    <row r="5794">
      <c r="A5794">
        <f>MOD(5794-1,101)</f>
        <v>36</v>
      </c>
    </row>
    <row r="5795">
      <c r="A5795">
        <f>MOD(5795-1,101)</f>
        <v>37</v>
      </c>
    </row>
    <row r="5796">
      <c r="A5796">
        <f>MOD(5796-1,101)</f>
        <v>38</v>
      </c>
    </row>
    <row r="5797">
      <c r="A5797">
        <f>MOD(5797-1,101)</f>
        <v>39</v>
      </c>
    </row>
    <row r="5798">
      <c r="A5798">
        <f>MOD(5798-1,101)</f>
        <v>40</v>
      </c>
    </row>
    <row r="5799">
      <c r="A5799">
        <f>MOD(5799-1,101)</f>
        <v>41</v>
      </c>
    </row>
    <row r="5800">
      <c r="A5800">
        <f>MOD(5800-1,101)</f>
        <v>42</v>
      </c>
    </row>
    <row r="5801">
      <c r="A5801">
        <f>MOD(5801-1,101)</f>
        <v>43</v>
      </c>
    </row>
    <row r="5802">
      <c r="A5802">
        <f>MOD(5802-1,101)</f>
        <v>44</v>
      </c>
    </row>
    <row r="5803">
      <c r="A5803">
        <f>MOD(5803-1,101)</f>
        <v>45</v>
      </c>
    </row>
    <row r="5804">
      <c r="A5804">
        <f>MOD(5804-1,101)</f>
        <v>46</v>
      </c>
    </row>
    <row r="5805">
      <c r="A5805">
        <f>MOD(5805-1,101)</f>
        <v>47</v>
      </c>
    </row>
    <row r="5806">
      <c r="A5806">
        <f>MOD(5806-1,101)</f>
        <v>48</v>
      </c>
    </row>
    <row r="5807">
      <c r="A5807">
        <f>MOD(5807-1,101)</f>
        <v>49</v>
      </c>
    </row>
    <row r="5808">
      <c r="A5808">
        <f>MOD(5808-1,101)</f>
        <v>50</v>
      </c>
    </row>
    <row r="5809">
      <c r="A5809">
        <f>MOD(5809-1,101)</f>
        <v>51</v>
      </c>
    </row>
    <row r="5810">
      <c r="A5810">
        <f>MOD(5810-1,101)</f>
        <v>52</v>
      </c>
    </row>
    <row r="5811">
      <c r="A5811">
        <f>MOD(5811-1,101)</f>
        <v>53</v>
      </c>
    </row>
    <row r="5812">
      <c r="A5812">
        <f>MOD(5812-1,101)</f>
        <v>54</v>
      </c>
    </row>
    <row r="5813">
      <c r="A5813">
        <f>MOD(5813-1,101)</f>
        <v>55</v>
      </c>
    </row>
    <row r="5814">
      <c r="A5814">
        <f>MOD(5814-1,101)</f>
        <v>56</v>
      </c>
    </row>
    <row r="5815">
      <c r="A5815">
        <f>MOD(5815-1,101)</f>
        <v>57</v>
      </c>
    </row>
    <row r="5816">
      <c r="A5816">
        <f>MOD(5816-1,101)</f>
        <v>58</v>
      </c>
    </row>
    <row r="5817">
      <c r="A5817">
        <f>MOD(5817-1,101)</f>
        <v>59</v>
      </c>
    </row>
    <row r="5818">
      <c r="A5818">
        <f>MOD(5818-1,101)</f>
        <v>60</v>
      </c>
    </row>
    <row r="5819">
      <c r="A5819">
        <f>MOD(5819-1,101)</f>
        <v>61</v>
      </c>
    </row>
    <row r="5820">
      <c r="A5820">
        <f>MOD(5820-1,101)</f>
        <v>62</v>
      </c>
    </row>
    <row r="5821">
      <c r="A5821">
        <f>MOD(5821-1,101)</f>
        <v>63</v>
      </c>
    </row>
    <row r="5822">
      <c r="A5822">
        <f>MOD(5822-1,101)</f>
        <v>64</v>
      </c>
    </row>
    <row r="5823">
      <c r="A5823">
        <f>MOD(5823-1,101)</f>
        <v>65</v>
      </c>
    </row>
    <row r="5824">
      <c r="A5824">
        <f>MOD(5824-1,101)</f>
        <v>66</v>
      </c>
    </row>
    <row r="5825">
      <c r="A5825">
        <f>MOD(5825-1,101)</f>
        <v>67</v>
      </c>
    </row>
    <row r="5826">
      <c r="A5826">
        <f>MOD(5826-1,101)</f>
        <v>68</v>
      </c>
    </row>
    <row r="5827">
      <c r="A5827">
        <f>MOD(5827-1,101)</f>
        <v>69</v>
      </c>
    </row>
    <row r="5828">
      <c r="A5828">
        <f>MOD(5828-1,101)</f>
        <v>70</v>
      </c>
    </row>
    <row r="5829">
      <c r="A5829">
        <f>MOD(5829-1,101)</f>
        <v>71</v>
      </c>
    </row>
    <row r="5830">
      <c r="A5830">
        <f>MOD(5830-1,101)</f>
        <v>72</v>
      </c>
    </row>
    <row r="5831">
      <c r="A5831">
        <f>MOD(5831-1,101)</f>
        <v>73</v>
      </c>
    </row>
    <row r="5832">
      <c r="A5832">
        <f>MOD(5832-1,101)</f>
        <v>74</v>
      </c>
    </row>
    <row r="5833">
      <c r="A5833">
        <f>MOD(5833-1,101)</f>
        <v>75</v>
      </c>
    </row>
    <row r="5834">
      <c r="A5834">
        <f>MOD(5834-1,101)</f>
        <v>76</v>
      </c>
    </row>
    <row r="5835">
      <c r="A5835">
        <f>MOD(5835-1,101)</f>
        <v>77</v>
      </c>
    </row>
    <row r="5836">
      <c r="A5836">
        <f>MOD(5836-1,101)</f>
        <v>78</v>
      </c>
    </row>
    <row r="5837">
      <c r="A5837">
        <f>MOD(5837-1,101)</f>
        <v>79</v>
      </c>
    </row>
    <row r="5838">
      <c r="A5838">
        <f>MOD(5838-1,101)</f>
        <v>80</v>
      </c>
    </row>
    <row r="5839">
      <c r="A5839">
        <f>MOD(5839-1,101)</f>
        <v>81</v>
      </c>
    </row>
    <row r="5840">
      <c r="A5840">
        <f>MOD(5840-1,101)</f>
        <v>82</v>
      </c>
    </row>
    <row r="5841">
      <c r="A5841">
        <f>MOD(5841-1,101)</f>
        <v>83</v>
      </c>
    </row>
    <row r="5842">
      <c r="A5842">
        <f>MOD(5842-1,101)</f>
        <v>84</v>
      </c>
    </row>
    <row r="5843">
      <c r="A5843">
        <f>MOD(5843-1,101)</f>
        <v>85</v>
      </c>
    </row>
    <row r="5844">
      <c r="A5844">
        <f>MOD(5844-1,101)</f>
        <v>86</v>
      </c>
    </row>
    <row r="5845">
      <c r="A5845">
        <f>MOD(5845-1,101)</f>
        <v>87</v>
      </c>
    </row>
    <row r="5846">
      <c r="A5846">
        <f>MOD(5846-1,101)</f>
        <v>88</v>
      </c>
    </row>
    <row r="5847">
      <c r="A5847">
        <f>MOD(5847-1,101)</f>
        <v>89</v>
      </c>
    </row>
    <row r="5848">
      <c r="A5848">
        <f>MOD(5848-1,101)</f>
        <v>90</v>
      </c>
    </row>
    <row r="5849">
      <c r="A5849">
        <f>MOD(5849-1,101)</f>
        <v>91</v>
      </c>
    </row>
    <row r="5850">
      <c r="A5850">
        <f>MOD(5850-1,101)</f>
        <v>92</v>
      </c>
    </row>
    <row r="5851">
      <c r="A5851">
        <f>MOD(5851-1,101)</f>
        <v>93</v>
      </c>
    </row>
    <row r="5852">
      <c r="A5852">
        <f>MOD(5852-1,101)</f>
        <v>94</v>
      </c>
    </row>
    <row r="5853">
      <c r="A5853">
        <f>MOD(5853-1,101)</f>
        <v>95</v>
      </c>
    </row>
    <row r="5854">
      <c r="A5854">
        <f>MOD(5854-1,101)</f>
        <v>96</v>
      </c>
    </row>
    <row r="5855">
      <c r="A5855">
        <f>MOD(5855-1,101)</f>
        <v>97</v>
      </c>
    </row>
    <row r="5856">
      <c r="A5856">
        <f>MOD(5856-1,101)</f>
        <v>98</v>
      </c>
    </row>
    <row r="5857">
      <c r="A5857">
        <f>MOD(5857-1,101)</f>
        <v>99</v>
      </c>
    </row>
    <row r="5858">
      <c r="A5858">
        <f>MOD(5858-1,101)</f>
        <v>100</v>
      </c>
    </row>
    <row r="5859">
      <c r="A5859">
        <f>MOD(5859-1,101)</f>
        <v>0</v>
      </c>
    </row>
    <row r="5860">
      <c r="A5860">
        <f>MOD(5860-1,101)</f>
        <v>1</v>
      </c>
    </row>
    <row r="5861">
      <c r="A5861">
        <f>MOD(5861-1,101)</f>
        <v>2</v>
      </c>
    </row>
    <row r="5862">
      <c r="A5862">
        <f>MOD(5862-1,101)</f>
        <v>3</v>
      </c>
    </row>
    <row r="5863">
      <c r="A5863">
        <f>MOD(5863-1,101)</f>
        <v>4</v>
      </c>
    </row>
    <row r="5864">
      <c r="A5864">
        <f>MOD(5864-1,101)</f>
        <v>5</v>
      </c>
    </row>
    <row r="5865">
      <c r="A5865">
        <f>MOD(5865-1,101)</f>
        <v>6</v>
      </c>
    </row>
    <row r="5866">
      <c r="A5866">
        <f>MOD(5866-1,101)</f>
        <v>7</v>
      </c>
    </row>
    <row r="5867">
      <c r="A5867">
        <f>MOD(5867-1,101)</f>
        <v>8</v>
      </c>
    </row>
    <row r="5868">
      <c r="A5868">
        <f>MOD(5868-1,101)</f>
        <v>9</v>
      </c>
    </row>
    <row r="5869">
      <c r="A5869">
        <f>MOD(5869-1,101)</f>
        <v>10</v>
      </c>
    </row>
    <row r="5870">
      <c r="A5870">
        <f>MOD(5870-1,101)</f>
        <v>11</v>
      </c>
    </row>
    <row r="5871">
      <c r="A5871">
        <f>MOD(5871-1,101)</f>
        <v>12</v>
      </c>
    </row>
    <row r="5872">
      <c r="A5872">
        <f>MOD(5872-1,101)</f>
        <v>13</v>
      </c>
    </row>
    <row r="5873">
      <c r="A5873">
        <f>MOD(5873-1,101)</f>
        <v>14</v>
      </c>
    </row>
    <row r="5874">
      <c r="A5874">
        <f>MOD(5874-1,101)</f>
        <v>15</v>
      </c>
    </row>
    <row r="5875">
      <c r="A5875">
        <f>MOD(5875-1,101)</f>
        <v>16</v>
      </c>
    </row>
    <row r="5876">
      <c r="A5876">
        <f>MOD(5876-1,101)</f>
        <v>17</v>
      </c>
    </row>
    <row r="5877">
      <c r="A5877">
        <f>MOD(5877-1,101)</f>
        <v>18</v>
      </c>
    </row>
    <row r="5878">
      <c r="A5878">
        <f>MOD(5878-1,101)</f>
        <v>19</v>
      </c>
    </row>
    <row r="5879">
      <c r="A5879">
        <f>MOD(5879-1,101)</f>
        <v>20</v>
      </c>
    </row>
    <row r="5880">
      <c r="A5880">
        <f>MOD(5880-1,101)</f>
        <v>21</v>
      </c>
    </row>
    <row r="5881">
      <c r="A5881">
        <f>MOD(5881-1,101)</f>
        <v>22</v>
      </c>
    </row>
    <row r="5882">
      <c r="A5882">
        <f>MOD(5882-1,101)</f>
        <v>23</v>
      </c>
    </row>
    <row r="5883">
      <c r="A5883">
        <f>MOD(5883-1,101)</f>
        <v>24</v>
      </c>
    </row>
    <row r="5884">
      <c r="A5884">
        <f>MOD(5884-1,101)</f>
        <v>25</v>
      </c>
    </row>
    <row r="5885">
      <c r="A5885">
        <f>MOD(5885-1,101)</f>
        <v>26</v>
      </c>
    </row>
    <row r="5886">
      <c r="A5886">
        <f>MOD(5886-1,101)</f>
        <v>27</v>
      </c>
    </row>
    <row r="5887">
      <c r="A5887">
        <f>MOD(5887-1,101)</f>
        <v>28</v>
      </c>
    </row>
    <row r="5888">
      <c r="A5888">
        <f>MOD(5888-1,101)</f>
        <v>29</v>
      </c>
    </row>
    <row r="5889">
      <c r="A5889">
        <f>MOD(5889-1,101)</f>
        <v>30</v>
      </c>
    </row>
    <row r="5890">
      <c r="A5890">
        <f>MOD(5890-1,101)</f>
        <v>31</v>
      </c>
    </row>
    <row r="5891">
      <c r="A5891">
        <f>MOD(5891-1,101)</f>
        <v>32</v>
      </c>
    </row>
    <row r="5892">
      <c r="A5892">
        <f>MOD(5892-1,101)</f>
        <v>33</v>
      </c>
    </row>
    <row r="5893">
      <c r="A5893">
        <f>MOD(5893-1,101)</f>
        <v>34</v>
      </c>
    </row>
    <row r="5894">
      <c r="A5894">
        <f>MOD(5894-1,101)</f>
        <v>35</v>
      </c>
    </row>
    <row r="5895">
      <c r="A5895">
        <f>MOD(5895-1,101)</f>
        <v>36</v>
      </c>
    </row>
    <row r="5896">
      <c r="A5896">
        <f>MOD(5896-1,101)</f>
        <v>37</v>
      </c>
    </row>
    <row r="5897">
      <c r="A5897">
        <f>MOD(5897-1,101)</f>
        <v>38</v>
      </c>
    </row>
    <row r="5898">
      <c r="A5898">
        <f>MOD(5898-1,101)</f>
        <v>39</v>
      </c>
    </row>
    <row r="5899">
      <c r="A5899">
        <f>MOD(5899-1,101)</f>
        <v>40</v>
      </c>
    </row>
    <row r="5900">
      <c r="A5900">
        <f>MOD(5900-1,101)</f>
        <v>41</v>
      </c>
    </row>
    <row r="5901">
      <c r="A5901">
        <f>MOD(5901-1,101)</f>
        <v>42</v>
      </c>
    </row>
    <row r="5902">
      <c r="A5902">
        <f>MOD(5902-1,101)</f>
        <v>43</v>
      </c>
    </row>
    <row r="5903">
      <c r="A5903">
        <f>MOD(5903-1,101)</f>
        <v>44</v>
      </c>
    </row>
    <row r="5904">
      <c r="A5904">
        <f>MOD(5904-1,101)</f>
        <v>45</v>
      </c>
    </row>
    <row r="5905">
      <c r="A5905">
        <f>MOD(5905-1,101)</f>
        <v>46</v>
      </c>
    </row>
    <row r="5906">
      <c r="A5906">
        <f>MOD(5906-1,101)</f>
        <v>47</v>
      </c>
    </row>
    <row r="5907">
      <c r="A5907">
        <f>MOD(5907-1,101)</f>
        <v>48</v>
      </c>
    </row>
    <row r="5908">
      <c r="A5908">
        <f>MOD(5908-1,101)</f>
        <v>49</v>
      </c>
    </row>
    <row r="5909">
      <c r="A5909">
        <f>MOD(5909-1,101)</f>
        <v>50</v>
      </c>
    </row>
    <row r="5910">
      <c r="A5910">
        <f>MOD(5910-1,101)</f>
        <v>51</v>
      </c>
    </row>
    <row r="5911">
      <c r="A5911">
        <f>MOD(5911-1,101)</f>
        <v>52</v>
      </c>
    </row>
    <row r="5912">
      <c r="A5912">
        <f>MOD(5912-1,101)</f>
        <v>53</v>
      </c>
    </row>
    <row r="5913">
      <c r="A5913">
        <f>MOD(5913-1,101)</f>
        <v>54</v>
      </c>
    </row>
    <row r="5914">
      <c r="A5914">
        <f>MOD(5914-1,101)</f>
        <v>55</v>
      </c>
    </row>
    <row r="5915">
      <c r="A5915">
        <f>MOD(5915-1,101)</f>
        <v>56</v>
      </c>
    </row>
    <row r="5916">
      <c r="A5916">
        <f>MOD(5916-1,101)</f>
        <v>57</v>
      </c>
    </row>
    <row r="5917">
      <c r="A5917">
        <f>MOD(5917-1,101)</f>
        <v>58</v>
      </c>
    </row>
    <row r="5918">
      <c r="A5918">
        <f>MOD(5918-1,101)</f>
        <v>59</v>
      </c>
    </row>
    <row r="5919">
      <c r="A5919">
        <f>MOD(5919-1,101)</f>
        <v>60</v>
      </c>
    </row>
    <row r="5920">
      <c r="A5920">
        <f>MOD(5920-1,101)</f>
        <v>61</v>
      </c>
    </row>
    <row r="5921">
      <c r="A5921">
        <f>MOD(5921-1,101)</f>
        <v>62</v>
      </c>
    </row>
    <row r="5922">
      <c r="A5922">
        <f>MOD(5922-1,101)</f>
        <v>63</v>
      </c>
    </row>
    <row r="5923">
      <c r="A5923">
        <f>MOD(5923-1,101)</f>
        <v>64</v>
      </c>
    </row>
    <row r="5924">
      <c r="A5924">
        <f>MOD(5924-1,101)</f>
        <v>65</v>
      </c>
    </row>
    <row r="5925">
      <c r="A5925">
        <f>MOD(5925-1,101)</f>
        <v>66</v>
      </c>
    </row>
    <row r="5926">
      <c r="A5926">
        <f>MOD(5926-1,101)</f>
        <v>67</v>
      </c>
    </row>
    <row r="5927">
      <c r="A5927">
        <f>MOD(5927-1,101)</f>
        <v>68</v>
      </c>
    </row>
    <row r="5928">
      <c r="A5928">
        <f>MOD(5928-1,101)</f>
        <v>69</v>
      </c>
    </row>
    <row r="5929">
      <c r="A5929">
        <f>MOD(5929-1,101)</f>
        <v>70</v>
      </c>
    </row>
    <row r="5930">
      <c r="A5930">
        <f>MOD(5930-1,101)</f>
        <v>71</v>
      </c>
    </row>
    <row r="5931">
      <c r="A5931">
        <f>MOD(5931-1,101)</f>
        <v>72</v>
      </c>
    </row>
    <row r="5932">
      <c r="A5932">
        <f>MOD(5932-1,101)</f>
        <v>73</v>
      </c>
    </row>
    <row r="5933">
      <c r="A5933">
        <f>MOD(5933-1,101)</f>
        <v>74</v>
      </c>
    </row>
    <row r="5934">
      <c r="A5934">
        <f>MOD(5934-1,101)</f>
        <v>75</v>
      </c>
    </row>
    <row r="5935">
      <c r="A5935">
        <f>MOD(5935-1,101)</f>
        <v>76</v>
      </c>
    </row>
    <row r="5936">
      <c r="A5936">
        <f>MOD(5936-1,101)</f>
        <v>77</v>
      </c>
    </row>
    <row r="5937">
      <c r="A5937">
        <f>MOD(5937-1,101)</f>
        <v>78</v>
      </c>
    </row>
    <row r="5938">
      <c r="A5938">
        <f>MOD(5938-1,101)</f>
        <v>79</v>
      </c>
    </row>
    <row r="5939">
      <c r="A5939">
        <f>MOD(5939-1,101)</f>
        <v>80</v>
      </c>
    </row>
    <row r="5940">
      <c r="A5940">
        <f>MOD(5940-1,101)</f>
        <v>81</v>
      </c>
    </row>
    <row r="5941">
      <c r="A5941">
        <f>MOD(5941-1,101)</f>
        <v>82</v>
      </c>
    </row>
    <row r="5942">
      <c r="A5942">
        <f>MOD(5942-1,101)</f>
        <v>83</v>
      </c>
    </row>
    <row r="5943">
      <c r="A5943">
        <f>MOD(5943-1,101)</f>
        <v>84</v>
      </c>
    </row>
    <row r="5944">
      <c r="A5944">
        <f>MOD(5944-1,101)</f>
        <v>85</v>
      </c>
    </row>
    <row r="5945">
      <c r="A5945">
        <f>MOD(5945-1,101)</f>
        <v>86</v>
      </c>
    </row>
    <row r="5946">
      <c r="A5946">
        <f>MOD(5946-1,101)</f>
        <v>87</v>
      </c>
    </row>
    <row r="5947">
      <c r="A5947">
        <f>MOD(5947-1,101)</f>
        <v>88</v>
      </c>
    </row>
    <row r="5948">
      <c r="A5948">
        <f>MOD(5948-1,101)</f>
        <v>89</v>
      </c>
    </row>
    <row r="5949">
      <c r="A5949">
        <f>MOD(5949-1,101)</f>
        <v>90</v>
      </c>
    </row>
    <row r="5950">
      <c r="A5950">
        <f>MOD(5950-1,101)</f>
        <v>91</v>
      </c>
    </row>
    <row r="5951">
      <c r="A5951">
        <f>MOD(5951-1,101)</f>
        <v>92</v>
      </c>
    </row>
    <row r="5952">
      <c r="A5952">
        <f>MOD(5952-1,101)</f>
        <v>93</v>
      </c>
    </row>
    <row r="5953">
      <c r="A5953">
        <f>MOD(5953-1,101)</f>
        <v>94</v>
      </c>
    </row>
    <row r="5954">
      <c r="A5954">
        <f>MOD(5954-1,101)</f>
        <v>95</v>
      </c>
    </row>
    <row r="5955">
      <c r="A5955">
        <f>MOD(5955-1,101)</f>
        <v>96</v>
      </c>
    </row>
    <row r="5956">
      <c r="A5956">
        <f>MOD(5956-1,101)</f>
        <v>97</v>
      </c>
    </row>
    <row r="5957">
      <c r="A5957">
        <f>MOD(5957-1,101)</f>
        <v>98</v>
      </c>
    </row>
    <row r="5958">
      <c r="A5958">
        <f>MOD(5958-1,101)</f>
        <v>99</v>
      </c>
    </row>
    <row r="5959">
      <c r="A5959">
        <f>MOD(5959-1,101)</f>
        <v>100</v>
      </c>
    </row>
    <row r="5960">
      <c r="A5960">
        <f>MOD(5960-1,101)</f>
        <v>0</v>
      </c>
    </row>
    <row r="5961">
      <c r="A5961">
        <f>MOD(5961-1,101)</f>
        <v>1</v>
      </c>
    </row>
    <row r="5962">
      <c r="A5962">
        <f>MOD(5962-1,101)</f>
        <v>2</v>
      </c>
    </row>
    <row r="5963">
      <c r="A5963">
        <f>MOD(5963-1,101)</f>
        <v>3</v>
      </c>
    </row>
    <row r="5964">
      <c r="A5964">
        <f>MOD(5964-1,101)</f>
        <v>4</v>
      </c>
    </row>
    <row r="5965">
      <c r="A5965">
        <f>MOD(5965-1,101)</f>
        <v>5</v>
      </c>
    </row>
    <row r="5966">
      <c r="A5966">
        <f>MOD(5966-1,101)</f>
        <v>6</v>
      </c>
    </row>
    <row r="5967">
      <c r="A5967">
        <f>MOD(5967-1,101)</f>
        <v>7</v>
      </c>
    </row>
    <row r="5968">
      <c r="A5968">
        <f>MOD(5968-1,101)</f>
        <v>8</v>
      </c>
    </row>
    <row r="5969">
      <c r="A5969">
        <f>MOD(5969-1,101)</f>
        <v>9</v>
      </c>
    </row>
    <row r="5970">
      <c r="A5970">
        <f>MOD(5970-1,101)</f>
        <v>10</v>
      </c>
    </row>
    <row r="5971">
      <c r="A5971">
        <f>MOD(5971-1,101)</f>
        <v>11</v>
      </c>
    </row>
    <row r="5972">
      <c r="A5972">
        <f>MOD(5972-1,101)</f>
        <v>12</v>
      </c>
    </row>
    <row r="5973">
      <c r="A5973">
        <f>MOD(5973-1,101)</f>
        <v>13</v>
      </c>
    </row>
    <row r="5974">
      <c r="A5974">
        <f>MOD(5974-1,101)</f>
        <v>14</v>
      </c>
    </row>
    <row r="5975">
      <c r="A5975">
        <f>MOD(5975-1,101)</f>
        <v>15</v>
      </c>
    </row>
    <row r="5976">
      <c r="A5976">
        <f>MOD(5976-1,101)</f>
        <v>16</v>
      </c>
    </row>
    <row r="5977">
      <c r="A5977">
        <f>MOD(5977-1,101)</f>
        <v>17</v>
      </c>
    </row>
    <row r="5978">
      <c r="A5978">
        <f>MOD(5978-1,101)</f>
        <v>18</v>
      </c>
    </row>
    <row r="5979">
      <c r="A5979">
        <f>MOD(5979-1,101)</f>
        <v>19</v>
      </c>
    </row>
    <row r="5980">
      <c r="A5980">
        <f>MOD(5980-1,101)</f>
        <v>20</v>
      </c>
    </row>
    <row r="5981">
      <c r="A5981">
        <f>MOD(5981-1,101)</f>
        <v>21</v>
      </c>
    </row>
    <row r="5982">
      <c r="A5982">
        <f>MOD(5982-1,101)</f>
        <v>22</v>
      </c>
    </row>
    <row r="5983">
      <c r="A5983">
        <f>MOD(5983-1,101)</f>
        <v>23</v>
      </c>
    </row>
    <row r="5984">
      <c r="A5984">
        <f>MOD(5984-1,101)</f>
        <v>24</v>
      </c>
    </row>
    <row r="5985">
      <c r="A5985">
        <f>MOD(5985-1,101)</f>
        <v>25</v>
      </c>
    </row>
    <row r="5986">
      <c r="A5986">
        <f>MOD(5986-1,101)</f>
        <v>26</v>
      </c>
    </row>
    <row r="5987">
      <c r="A5987">
        <f>MOD(5987-1,101)</f>
        <v>27</v>
      </c>
    </row>
    <row r="5988">
      <c r="A5988">
        <f>MOD(5988-1,101)</f>
        <v>28</v>
      </c>
    </row>
    <row r="5989">
      <c r="A5989">
        <f>MOD(5989-1,101)</f>
        <v>29</v>
      </c>
    </row>
    <row r="5990">
      <c r="A5990">
        <f>MOD(5990-1,101)</f>
        <v>30</v>
      </c>
    </row>
    <row r="5991">
      <c r="A5991">
        <f>MOD(5991-1,101)</f>
        <v>31</v>
      </c>
    </row>
    <row r="5992">
      <c r="A5992">
        <f>MOD(5992-1,101)</f>
        <v>32</v>
      </c>
    </row>
    <row r="5993">
      <c r="A5993">
        <f>MOD(5993-1,101)</f>
        <v>33</v>
      </c>
    </row>
    <row r="5994">
      <c r="A5994">
        <f>MOD(5994-1,101)</f>
        <v>34</v>
      </c>
    </row>
    <row r="5995">
      <c r="A5995">
        <f>MOD(5995-1,101)</f>
        <v>35</v>
      </c>
    </row>
    <row r="5996">
      <c r="A5996">
        <f>MOD(5996-1,101)</f>
        <v>36</v>
      </c>
    </row>
    <row r="5997">
      <c r="A5997">
        <f>MOD(5997-1,101)</f>
        <v>37</v>
      </c>
    </row>
    <row r="5998">
      <c r="A5998">
        <f>MOD(5998-1,101)</f>
        <v>38</v>
      </c>
    </row>
    <row r="5999">
      <c r="A5999">
        <f>MOD(5999-1,101)</f>
        <v>39</v>
      </c>
    </row>
    <row r="6000">
      <c r="A6000">
        <f>MOD(6000-1,101)</f>
        <v>40</v>
      </c>
    </row>
    <row r="6001">
      <c r="A6001">
        <f>MOD(6001-1,101)</f>
        <v>41</v>
      </c>
    </row>
    <row r="6002">
      <c r="A6002">
        <f>MOD(6002-1,101)</f>
        <v>42</v>
      </c>
    </row>
    <row r="6003">
      <c r="A6003">
        <f>MOD(6003-1,101)</f>
        <v>43</v>
      </c>
    </row>
    <row r="6004">
      <c r="A6004">
        <f>MOD(6004-1,101)</f>
        <v>44</v>
      </c>
    </row>
    <row r="6005">
      <c r="A6005">
        <f>MOD(6005-1,101)</f>
        <v>45</v>
      </c>
    </row>
    <row r="6006">
      <c r="A6006">
        <f>MOD(6006-1,101)</f>
        <v>46</v>
      </c>
    </row>
    <row r="6007">
      <c r="A6007">
        <f>MOD(6007-1,101)</f>
        <v>47</v>
      </c>
    </row>
    <row r="6008">
      <c r="A6008">
        <f>MOD(6008-1,101)</f>
        <v>48</v>
      </c>
    </row>
    <row r="6009">
      <c r="A6009">
        <f>MOD(6009-1,101)</f>
        <v>49</v>
      </c>
    </row>
    <row r="6010">
      <c r="A6010">
        <f>MOD(6010-1,101)</f>
        <v>50</v>
      </c>
    </row>
    <row r="6011">
      <c r="A6011">
        <f>MOD(6011-1,101)</f>
        <v>51</v>
      </c>
    </row>
    <row r="6012">
      <c r="A6012">
        <f>MOD(6012-1,101)</f>
        <v>52</v>
      </c>
    </row>
    <row r="6013">
      <c r="A6013">
        <f>MOD(6013-1,101)</f>
        <v>53</v>
      </c>
    </row>
    <row r="6014">
      <c r="A6014">
        <f>MOD(6014-1,101)</f>
        <v>54</v>
      </c>
    </row>
    <row r="6015">
      <c r="A6015">
        <f>MOD(6015-1,101)</f>
        <v>55</v>
      </c>
    </row>
    <row r="6016">
      <c r="A6016">
        <f>MOD(6016-1,101)</f>
        <v>56</v>
      </c>
    </row>
    <row r="6017">
      <c r="A6017">
        <f>MOD(6017-1,101)</f>
        <v>57</v>
      </c>
    </row>
    <row r="6018">
      <c r="A6018">
        <f>MOD(6018-1,101)</f>
        <v>58</v>
      </c>
    </row>
    <row r="6019">
      <c r="A6019">
        <f>MOD(6019-1,101)</f>
        <v>59</v>
      </c>
    </row>
    <row r="6020">
      <c r="A6020">
        <f>MOD(6020-1,101)</f>
        <v>60</v>
      </c>
    </row>
    <row r="6021">
      <c r="A6021">
        <f>MOD(6021-1,101)</f>
        <v>61</v>
      </c>
    </row>
    <row r="6022">
      <c r="A6022">
        <f>MOD(6022-1,101)</f>
        <v>62</v>
      </c>
    </row>
    <row r="6023">
      <c r="A6023">
        <f>MOD(6023-1,101)</f>
        <v>63</v>
      </c>
    </row>
    <row r="6024">
      <c r="A6024">
        <f>MOD(6024-1,101)</f>
        <v>64</v>
      </c>
    </row>
    <row r="6025">
      <c r="A6025">
        <f>MOD(6025-1,101)</f>
        <v>65</v>
      </c>
    </row>
    <row r="6026">
      <c r="A6026">
        <f>MOD(6026-1,101)</f>
        <v>66</v>
      </c>
    </row>
    <row r="6027">
      <c r="A6027">
        <f>MOD(6027-1,101)</f>
        <v>67</v>
      </c>
    </row>
    <row r="6028">
      <c r="A6028">
        <f>MOD(6028-1,101)</f>
        <v>68</v>
      </c>
    </row>
    <row r="6029">
      <c r="A6029">
        <f>MOD(6029-1,101)</f>
        <v>69</v>
      </c>
    </row>
    <row r="6030">
      <c r="A6030">
        <f>MOD(6030-1,101)</f>
        <v>70</v>
      </c>
    </row>
    <row r="6031">
      <c r="A6031">
        <f>MOD(6031-1,101)</f>
        <v>71</v>
      </c>
    </row>
    <row r="6032">
      <c r="A6032">
        <f>MOD(6032-1,101)</f>
        <v>72</v>
      </c>
    </row>
    <row r="6033">
      <c r="A6033">
        <f>MOD(6033-1,101)</f>
        <v>73</v>
      </c>
    </row>
    <row r="6034">
      <c r="A6034">
        <f>MOD(6034-1,101)</f>
        <v>74</v>
      </c>
    </row>
    <row r="6035">
      <c r="A6035">
        <f>MOD(6035-1,101)</f>
        <v>75</v>
      </c>
    </row>
    <row r="6036">
      <c r="A6036">
        <f>MOD(6036-1,101)</f>
        <v>76</v>
      </c>
    </row>
    <row r="6037">
      <c r="A6037">
        <f>MOD(6037-1,101)</f>
        <v>77</v>
      </c>
    </row>
    <row r="6038">
      <c r="A6038">
        <f>MOD(6038-1,101)</f>
        <v>78</v>
      </c>
    </row>
    <row r="6039">
      <c r="A6039">
        <f>MOD(6039-1,101)</f>
        <v>79</v>
      </c>
    </row>
    <row r="6040">
      <c r="A6040">
        <f>MOD(6040-1,101)</f>
        <v>80</v>
      </c>
    </row>
    <row r="6041">
      <c r="A6041">
        <f>MOD(6041-1,101)</f>
        <v>81</v>
      </c>
    </row>
    <row r="6042">
      <c r="A6042">
        <f>MOD(6042-1,101)</f>
        <v>82</v>
      </c>
    </row>
    <row r="6043">
      <c r="A6043">
        <f>MOD(6043-1,101)</f>
        <v>83</v>
      </c>
    </row>
    <row r="6044">
      <c r="A6044">
        <f>MOD(6044-1,101)</f>
        <v>84</v>
      </c>
    </row>
    <row r="6045">
      <c r="A6045">
        <f>MOD(6045-1,101)</f>
        <v>85</v>
      </c>
    </row>
    <row r="6046">
      <c r="A6046">
        <f>MOD(6046-1,101)</f>
        <v>86</v>
      </c>
    </row>
    <row r="6047">
      <c r="A6047">
        <f>MOD(6047-1,101)</f>
        <v>87</v>
      </c>
    </row>
    <row r="6048">
      <c r="A6048">
        <f>MOD(6048-1,101)</f>
        <v>88</v>
      </c>
    </row>
    <row r="6049">
      <c r="A6049">
        <f>MOD(6049-1,101)</f>
        <v>89</v>
      </c>
    </row>
    <row r="6050">
      <c r="A6050">
        <f>MOD(6050-1,101)</f>
        <v>90</v>
      </c>
    </row>
    <row r="6051">
      <c r="A6051">
        <f>MOD(6051-1,101)</f>
        <v>91</v>
      </c>
    </row>
    <row r="6052">
      <c r="A6052">
        <f>MOD(6052-1,101)</f>
        <v>92</v>
      </c>
    </row>
    <row r="6053">
      <c r="A6053">
        <f>MOD(6053-1,101)</f>
        <v>93</v>
      </c>
    </row>
    <row r="6054">
      <c r="A6054">
        <f>MOD(6054-1,101)</f>
        <v>94</v>
      </c>
    </row>
    <row r="6055">
      <c r="A6055">
        <f>MOD(6055-1,101)</f>
        <v>95</v>
      </c>
    </row>
    <row r="6056">
      <c r="A6056">
        <f>MOD(6056-1,101)</f>
        <v>96</v>
      </c>
    </row>
    <row r="6057">
      <c r="A6057">
        <f>MOD(6057-1,101)</f>
        <v>97</v>
      </c>
    </row>
    <row r="6058">
      <c r="A6058">
        <f>MOD(6058-1,101)</f>
        <v>98</v>
      </c>
    </row>
    <row r="6059">
      <c r="A6059">
        <f>MOD(6059-1,101)</f>
        <v>99</v>
      </c>
    </row>
    <row r="6060">
      <c r="A6060">
        <f>MOD(6060-1,101)</f>
        <v>100</v>
      </c>
    </row>
    <row r="6061">
      <c r="A6061">
        <f>MOD(6061-1,101)</f>
        <v>0</v>
      </c>
    </row>
    <row r="6062">
      <c r="A6062">
        <f>MOD(6062-1,101)</f>
        <v>1</v>
      </c>
    </row>
    <row r="6063">
      <c r="A6063">
        <f>MOD(6063-1,101)</f>
        <v>2</v>
      </c>
    </row>
    <row r="6064">
      <c r="A6064">
        <f>MOD(6064-1,101)</f>
        <v>3</v>
      </c>
    </row>
    <row r="6065">
      <c r="A6065">
        <f>MOD(6065-1,101)</f>
        <v>4</v>
      </c>
    </row>
    <row r="6066">
      <c r="A6066">
        <f>MOD(6066-1,101)</f>
        <v>5</v>
      </c>
    </row>
    <row r="6067">
      <c r="A6067">
        <f>MOD(6067-1,101)</f>
        <v>6</v>
      </c>
    </row>
    <row r="6068">
      <c r="A6068">
        <f>MOD(6068-1,101)</f>
        <v>7</v>
      </c>
    </row>
    <row r="6069">
      <c r="A6069">
        <f>MOD(6069-1,101)</f>
        <v>8</v>
      </c>
    </row>
    <row r="6070">
      <c r="A6070">
        <f>MOD(6070-1,101)</f>
        <v>9</v>
      </c>
    </row>
    <row r="6071">
      <c r="A6071">
        <f>MOD(6071-1,101)</f>
        <v>10</v>
      </c>
    </row>
    <row r="6072">
      <c r="A6072">
        <f>MOD(6072-1,101)</f>
        <v>11</v>
      </c>
    </row>
    <row r="6073">
      <c r="A6073">
        <f>MOD(6073-1,101)</f>
        <v>12</v>
      </c>
    </row>
    <row r="6074">
      <c r="A6074">
        <f>MOD(6074-1,101)</f>
        <v>13</v>
      </c>
    </row>
    <row r="6075">
      <c r="A6075">
        <f>MOD(6075-1,101)</f>
        <v>14</v>
      </c>
    </row>
    <row r="6076">
      <c r="A6076">
        <f>MOD(6076-1,101)</f>
        <v>15</v>
      </c>
    </row>
    <row r="6077">
      <c r="A6077">
        <f>MOD(6077-1,101)</f>
        <v>16</v>
      </c>
    </row>
    <row r="6078">
      <c r="A6078">
        <f>MOD(6078-1,101)</f>
        <v>17</v>
      </c>
    </row>
    <row r="6079">
      <c r="A6079">
        <f>MOD(6079-1,101)</f>
        <v>18</v>
      </c>
    </row>
    <row r="6080">
      <c r="A6080">
        <f>MOD(6080-1,101)</f>
        <v>19</v>
      </c>
    </row>
    <row r="6081">
      <c r="A6081">
        <f>MOD(6081-1,101)</f>
        <v>20</v>
      </c>
    </row>
    <row r="6082">
      <c r="A6082">
        <f>MOD(6082-1,101)</f>
        <v>21</v>
      </c>
    </row>
    <row r="6083">
      <c r="A6083">
        <f>MOD(6083-1,101)</f>
        <v>22</v>
      </c>
    </row>
    <row r="6084">
      <c r="A6084">
        <f>MOD(6084-1,101)</f>
        <v>23</v>
      </c>
    </row>
    <row r="6085">
      <c r="A6085">
        <f>MOD(6085-1,101)</f>
        <v>24</v>
      </c>
    </row>
    <row r="6086">
      <c r="A6086">
        <f>MOD(6086-1,101)</f>
        <v>25</v>
      </c>
    </row>
    <row r="6087">
      <c r="A6087">
        <f>MOD(6087-1,101)</f>
        <v>26</v>
      </c>
    </row>
    <row r="6088">
      <c r="A6088">
        <f>MOD(6088-1,101)</f>
        <v>27</v>
      </c>
    </row>
    <row r="6089">
      <c r="A6089">
        <f>MOD(6089-1,101)</f>
        <v>28</v>
      </c>
    </row>
    <row r="6090">
      <c r="A6090">
        <f>MOD(6090-1,101)</f>
        <v>29</v>
      </c>
    </row>
    <row r="6091">
      <c r="A6091">
        <f>MOD(6091-1,101)</f>
        <v>30</v>
      </c>
    </row>
    <row r="6092">
      <c r="A6092">
        <f>MOD(6092-1,101)</f>
        <v>31</v>
      </c>
    </row>
    <row r="6093">
      <c r="A6093">
        <f>MOD(6093-1,101)</f>
        <v>32</v>
      </c>
    </row>
    <row r="6094">
      <c r="A6094">
        <f>MOD(6094-1,101)</f>
        <v>33</v>
      </c>
    </row>
    <row r="6095">
      <c r="A6095">
        <f>MOD(6095-1,101)</f>
        <v>34</v>
      </c>
    </row>
    <row r="6096">
      <c r="A6096">
        <f>MOD(6096-1,101)</f>
        <v>35</v>
      </c>
    </row>
    <row r="6097">
      <c r="A6097">
        <f>MOD(6097-1,101)</f>
        <v>36</v>
      </c>
    </row>
    <row r="6098">
      <c r="A6098">
        <f>MOD(6098-1,101)</f>
        <v>37</v>
      </c>
    </row>
    <row r="6099">
      <c r="A6099">
        <f>MOD(6099-1,101)</f>
        <v>38</v>
      </c>
    </row>
    <row r="6100">
      <c r="A6100">
        <f>MOD(6100-1,101)</f>
        <v>39</v>
      </c>
    </row>
    <row r="6101">
      <c r="A6101">
        <f>MOD(6101-1,101)</f>
        <v>40</v>
      </c>
    </row>
    <row r="6102">
      <c r="A6102">
        <f>MOD(6102-1,101)</f>
        <v>41</v>
      </c>
    </row>
    <row r="6103">
      <c r="A6103">
        <f>MOD(6103-1,101)</f>
        <v>42</v>
      </c>
    </row>
    <row r="6104">
      <c r="A6104">
        <f>MOD(6104-1,101)</f>
        <v>43</v>
      </c>
    </row>
    <row r="6105">
      <c r="A6105">
        <f>MOD(6105-1,101)</f>
        <v>44</v>
      </c>
    </row>
    <row r="6106">
      <c r="A6106">
        <f>MOD(6106-1,101)</f>
        <v>45</v>
      </c>
    </row>
    <row r="6107">
      <c r="A6107">
        <f>MOD(6107-1,101)</f>
        <v>46</v>
      </c>
    </row>
    <row r="6108">
      <c r="A6108">
        <f>MOD(6108-1,101)</f>
        <v>47</v>
      </c>
    </row>
    <row r="6109">
      <c r="A6109">
        <f>MOD(6109-1,101)</f>
        <v>48</v>
      </c>
    </row>
    <row r="6110">
      <c r="A6110">
        <f>MOD(6110-1,101)</f>
        <v>49</v>
      </c>
    </row>
    <row r="6111">
      <c r="A6111">
        <f>MOD(6111-1,101)</f>
        <v>50</v>
      </c>
    </row>
    <row r="6112">
      <c r="A6112">
        <f>MOD(6112-1,101)</f>
        <v>51</v>
      </c>
    </row>
    <row r="6113">
      <c r="A6113">
        <f>MOD(6113-1,101)</f>
        <v>52</v>
      </c>
    </row>
    <row r="6114">
      <c r="A6114">
        <f>MOD(6114-1,101)</f>
        <v>53</v>
      </c>
    </row>
    <row r="6115">
      <c r="A6115">
        <f>MOD(6115-1,101)</f>
        <v>54</v>
      </c>
    </row>
    <row r="6116">
      <c r="A6116">
        <f>MOD(6116-1,101)</f>
        <v>55</v>
      </c>
    </row>
    <row r="6117">
      <c r="A6117">
        <f>MOD(6117-1,101)</f>
        <v>56</v>
      </c>
    </row>
    <row r="6118">
      <c r="A6118">
        <f>MOD(6118-1,101)</f>
        <v>57</v>
      </c>
    </row>
    <row r="6119">
      <c r="A6119">
        <f>MOD(6119-1,101)</f>
        <v>58</v>
      </c>
    </row>
    <row r="6120">
      <c r="A6120">
        <f>MOD(6120-1,101)</f>
        <v>59</v>
      </c>
    </row>
    <row r="6121">
      <c r="A6121">
        <f>MOD(6121-1,101)</f>
        <v>60</v>
      </c>
    </row>
    <row r="6122">
      <c r="A6122">
        <f>MOD(6122-1,101)</f>
        <v>61</v>
      </c>
    </row>
    <row r="6123">
      <c r="A6123">
        <f>MOD(6123-1,101)</f>
        <v>62</v>
      </c>
    </row>
    <row r="6124">
      <c r="A6124">
        <f>MOD(6124-1,101)</f>
        <v>63</v>
      </c>
    </row>
    <row r="6125">
      <c r="A6125">
        <f>MOD(6125-1,101)</f>
        <v>64</v>
      </c>
    </row>
    <row r="6126">
      <c r="A6126">
        <f>MOD(6126-1,101)</f>
        <v>65</v>
      </c>
    </row>
    <row r="6127">
      <c r="A6127">
        <f>MOD(6127-1,101)</f>
        <v>66</v>
      </c>
    </row>
    <row r="6128">
      <c r="A6128">
        <f>MOD(6128-1,101)</f>
        <v>67</v>
      </c>
    </row>
    <row r="6129">
      <c r="A6129">
        <f>MOD(6129-1,101)</f>
        <v>68</v>
      </c>
    </row>
    <row r="6130">
      <c r="A6130">
        <f>MOD(6130-1,101)</f>
        <v>69</v>
      </c>
    </row>
    <row r="6131">
      <c r="A6131">
        <f>MOD(6131-1,101)</f>
        <v>70</v>
      </c>
    </row>
    <row r="6132">
      <c r="A6132">
        <f>MOD(6132-1,101)</f>
        <v>71</v>
      </c>
    </row>
    <row r="6133">
      <c r="A6133">
        <f>MOD(6133-1,101)</f>
        <v>72</v>
      </c>
    </row>
    <row r="6134">
      <c r="A6134">
        <f>MOD(6134-1,101)</f>
        <v>73</v>
      </c>
    </row>
    <row r="6135">
      <c r="A6135">
        <f>MOD(6135-1,101)</f>
        <v>74</v>
      </c>
    </row>
    <row r="6136">
      <c r="A6136">
        <f>MOD(6136-1,101)</f>
        <v>75</v>
      </c>
    </row>
    <row r="6137">
      <c r="A6137">
        <f>MOD(6137-1,101)</f>
        <v>76</v>
      </c>
    </row>
    <row r="6138">
      <c r="A6138">
        <f>MOD(6138-1,101)</f>
        <v>77</v>
      </c>
    </row>
    <row r="6139">
      <c r="A6139">
        <f>MOD(6139-1,101)</f>
        <v>78</v>
      </c>
    </row>
    <row r="6140">
      <c r="A6140">
        <f>MOD(6140-1,101)</f>
        <v>79</v>
      </c>
    </row>
    <row r="6141">
      <c r="A6141">
        <f>MOD(6141-1,101)</f>
        <v>80</v>
      </c>
    </row>
    <row r="6142">
      <c r="A6142">
        <f>MOD(6142-1,101)</f>
        <v>81</v>
      </c>
    </row>
    <row r="6143">
      <c r="A6143">
        <f>MOD(6143-1,101)</f>
        <v>82</v>
      </c>
    </row>
    <row r="6144">
      <c r="A6144">
        <f>MOD(6144-1,101)</f>
        <v>83</v>
      </c>
    </row>
    <row r="6145">
      <c r="A6145">
        <f>MOD(6145-1,101)</f>
        <v>84</v>
      </c>
    </row>
    <row r="6146">
      <c r="A6146">
        <f>MOD(6146-1,101)</f>
        <v>85</v>
      </c>
    </row>
    <row r="6147">
      <c r="A6147">
        <f>MOD(6147-1,101)</f>
        <v>86</v>
      </c>
    </row>
    <row r="6148">
      <c r="A6148">
        <f>MOD(6148-1,101)</f>
        <v>87</v>
      </c>
    </row>
    <row r="6149">
      <c r="A6149">
        <f>MOD(6149-1,101)</f>
        <v>88</v>
      </c>
    </row>
    <row r="6150">
      <c r="A6150">
        <f>MOD(6150-1,101)</f>
        <v>89</v>
      </c>
    </row>
    <row r="6151">
      <c r="A6151">
        <f>MOD(6151-1,101)</f>
        <v>90</v>
      </c>
    </row>
    <row r="6152">
      <c r="A6152">
        <f>MOD(6152-1,101)</f>
        <v>91</v>
      </c>
    </row>
    <row r="6153">
      <c r="A6153">
        <f>MOD(6153-1,101)</f>
        <v>92</v>
      </c>
    </row>
    <row r="6154">
      <c r="A6154">
        <f>MOD(6154-1,101)</f>
        <v>93</v>
      </c>
    </row>
    <row r="6155">
      <c r="A6155">
        <f>MOD(6155-1,101)</f>
        <v>94</v>
      </c>
    </row>
    <row r="6156">
      <c r="A6156">
        <f>MOD(6156-1,101)</f>
        <v>95</v>
      </c>
    </row>
    <row r="6157">
      <c r="A6157">
        <f>MOD(6157-1,101)</f>
        <v>96</v>
      </c>
    </row>
    <row r="6158">
      <c r="A6158">
        <f>MOD(6158-1,101)</f>
        <v>97</v>
      </c>
    </row>
    <row r="6159">
      <c r="A6159">
        <f>MOD(6159-1,101)</f>
        <v>98</v>
      </c>
    </row>
    <row r="6160">
      <c r="A6160">
        <f>MOD(6160-1,101)</f>
        <v>99</v>
      </c>
    </row>
    <row r="6161">
      <c r="A6161">
        <f>MOD(6161-1,101)</f>
        <v>100</v>
      </c>
    </row>
    <row r="6162">
      <c r="A6162">
        <f>MOD(6162-1,101)</f>
        <v>0</v>
      </c>
    </row>
    <row r="6163">
      <c r="A6163">
        <f>MOD(6163-1,101)</f>
        <v>1</v>
      </c>
    </row>
    <row r="6164">
      <c r="A6164">
        <f>MOD(6164-1,101)</f>
        <v>2</v>
      </c>
    </row>
    <row r="6165">
      <c r="A6165">
        <f>MOD(6165-1,101)</f>
        <v>3</v>
      </c>
    </row>
    <row r="6166">
      <c r="A6166">
        <f>MOD(6166-1,101)</f>
        <v>4</v>
      </c>
    </row>
    <row r="6167">
      <c r="A6167">
        <f>MOD(6167-1,101)</f>
        <v>5</v>
      </c>
    </row>
    <row r="6168">
      <c r="A6168">
        <f>MOD(6168-1,101)</f>
        <v>6</v>
      </c>
    </row>
    <row r="6169">
      <c r="A6169">
        <f>MOD(6169-1,101)</f>
        <v>7</v>
      </c>
    </row>
    <row r="6170">
      <c r="A6170">
        <f>MOD(6170-1,101)</f>
        <v>8</v>
      </c>
    </row>
    <row r="6171">
      <c r="A6171">
        <f>MOD(6171-1,101)</f>
        <v>9</v>
      </c>
    </row>
    <row r="6172">
      <c r="A6172">
        <f>MOD(6172-1,101)</f>
        <v>10</v>
      </c>
    </row>
    <row r="6173">
      <c r="A6173">
        <f>MOD(6173-1,101)</f>
        <v>11</v>
      </c>
    </row>
    <row r="6174">
      <c r="A6174">
        <f>MOD(6174-1,101)</f>
        <v>12</v>
      </c>
    </row>
    <row r="6175">
      <c r="A6175">
        <f>MOD(6175-1,101)</f>
        <v>13</v>
      </c>
    </row>
    <row r="6176">
      <c r="A6176">
        <f>MOD(6176-1,101)</f>
        <v>14</v>
      </c>
    </row>
    <row r="6177">
      <c r="A6177">
        <f>MOD(6177-1,101)</f>
        <v>15</v>
      </c>
    </row>
    <row r="6178">
      <c r="A6178">
        <f>MOD(6178-1,101)</f>
        <v>16</v>
      </c>
    </row>
    <row r="6179">
      <c r="A6179">
        <f>MOD(6179-1,101)</f>
        <v>17</v>
      </c>
    </row>
    <row r="6180">
      <c r="A6180">
        <f>MOD(6180-1,101)</f>
        <v>18</v>
      </c>
    </row>
    <row r="6181">
      <c r="A6181">
        <f>MOD(6181-1,101)</f>
        <v>19</v>
      </c>
    </row>
    <row r="6182">
      <c r="A6182">
        <f>MOD(6182-1,101)</f>
        <v>20</v>
      </c>
    </row>
    <row r="6183">
      <c r="A6183">
        <f>MOD(6183-1,101)</f>
        <v>21</v>
      </c>
    </row>
    <row r="6184">
      <c r="A6184">
        <f>MOD(6184-1,101)</f>
        <v>22</v>
      </c>
    </row>
    <row r="6185">
      <c r="A6185">
        <f>MOD(6185-1,101)</f>
        <v>23</v>
      </c>
    </row>
    <row r="6186">
      <c r="A6186">
        <f>MOD(6186-1,101)</f>
        <v>24</v>
      </c>
    </row>
    <row r="6187">
      <c r="A6187">
        <f>MOD(6187-1,101)</f>
        <v>25</v>
      </c>
    </row>
    <row r="6188">
      <c r="A6188">
        <f>MOD(6188-1,101)</f>
        <v>26</v>
      </c>
    </row>
    <row r="6189">
      <c r="A6189">
        <f>MOD(6189-1,101)</f>
        <v>27</v>
      </c>
    </row>
    <row r="6190">
      <c r="A6190">
        <f>MOD(6190-1,101)</f>
        <v>28</v>
      </c>
    </row>
    <row r="6191">
      <c r="A6191">
        <f>MOD(6191-1,101)</f>
        <v>29</v>
      </c>
    </row>
    <row r="6192">
      <c r="A6192">
        <f>MOD(6192-1,101)</f>
        <v>30</v>
      </c>
    </row>
    <row r="6193">
      <c r="A6193">
        <f>MOD(6193-1,101)</f>
        <v>31</v>
      </c>
    </row>
    <row r="6194">
      <c r="A6194">
        <f>MOD(6194-1,101)</f>
        <v>32</v>
      </c>
    </row>
    <row r="6195">
      <c r="A6195">
        <f>MOD(6195-1,101)</f>
        <v>33</v>
      </c>
    </row>
    <row r="6196">
      <c r="A6196">
        <f>MOD(6196-1,101)</f>
        <v>34</v>
      </c>
    </row>
    <row r="6197">
      <c r="A6197">
        <f>MOD(6197-1,101)</f>
        <v>35</v>
      </c>
    </row>
    <row r="6198">
      <c r="A6198">
        <f>MOD(6198-1,101)</f>
        <v>36</v>
      </c>
    </row>
    <row r="6199">
      <c r="A6199">
        <f>MOD(6199-1,101)</f>
        <v>37</v>
      </c>
    </row>
    <row r="6200">
      <c r="A6200">
        <f>MOD(6200-1,101)</f>
        <v>38</v>
      </c>
    </row>
    <row r="6201">
      <c r="A6201">
        <f>MOD(6201-1,101)</f>
        <v>39</v>
      </c>
    </row>
    <row r="6202">
      <c r="A6202">
        <f>MOD(6202-1,101)</f>
        <v>40</v>
      </c>
    </row>
    <row r="6203">
      <c r="A6203">
        <f>MOD(6203-1,101)</f>
        <v>41</v>
      </c>
    </row>
    <row r="6204">
      <c r="A6204">
        <f>MOD(6204-1,101)</f>
        <v>42</v>
      </c>
    </row>
    <row r="6205">
      <c r="A6205">
        <f>MOD(6205-1,101)</f>
        <v>43</v>
      </c>
    </row>
    <row r="6206">
      <c r="A6206">
        <f>MOD(6206-1,101)</f>
        <v>44</v>
      </c>
    </row>
    <row r="6207">
      <c r="A6207">
        <f>MOD(6207-1,101)</f>
        <v>45</v>
      </c>
    </row>
    <row r="6208">
      <c r="A6208">
        <f>MOD(6208-1,101)</f>
        <v>46</v>
      </c>
    </row>
    <row r="6209">
      <c r="A6209">
        <f>MOD(6209-1,101)</f>
        <v>47</v>
      </c>
    </row>
    <row r="6210">
      <c r="A6210">
        <f>MOD(6210-1,101)</f>
        <v>48</v>
      </c>
    </row>
    <row r="6211">
      <c r="A6211">
        <f>MOD(6211-1,101)</f>
        <v>49</v>
      </c>
    </row>
    <row r="6212">
      <c r="A6212">
        <f>MOD(6212-1,101)</f>
        <v>50</v>
      </c>
    </row>
    <row r="6213">
      <c r="A6213">
        <f>MOD(6213-1,101)</f>
        <v>51</v>
      </c>
    </row>
    <row r="6214">
      <c r="A6214">
        <f>MOD(6214-1,101)</f>
        <v>52</v>
      </c>
    </row>
    <row r="6215">
      <c r="A6215">
        <f>MOD(6215-1,101)</f>
        <v>53</v>
      </c>
    </row>
    <row r="6216">
      <c r="A6216">
        <f>MOD(6216-1,101)</f>
        <v>54</v>
      </c>
    </row>
    <row r="6217">
      <c r="A6217">
        <f>MOD(6217-1,101)</f>
        <v>55</v>
      </c>
    </row>
    <row r="6218">
      <c r="A6218">
        <f>MOD(6218-1,101)</f>
        <v>56</v>
      </c>
    </row>
    <row r="6219">
      <c r="A6219">
        <f>MOD(6219-1,101)</f>
        <v>57</v>
      </c>
    </row>
    <row r="6220">
      <c r="A6220">
        <f>MOD(6220-1,101)</f>
        <v>58</v>
      </c>
    </row>
    <row r="6221">
      <c r="A6221">
        <f>MOD(6221-1,101)</f>
        <v>59</v>
      </c>
    </row>
    <row r="6222">
      <c r="A6222">
        <f>MOD(6222-1,101)</f>
        <v>60</v>
      </c>
    </row>
    <row r="6223">
      <c r="A6223">
        <f>MOD(6223-1,101)</f>
        <v>61</v>
      </c>
    </row>
    <row r="6224">
      <c r="A6224">
        <f>MOD(6224-1,101)</f>
        <v>62</v>
      </c>
    </row>
    <row r="6225">
      <c r="A6225">
        <f>MOD(6225-1,101)</f>
        <v>63</v>
      </c>
    </row>
    <row r="6226">
      <c r="A6226">
        <f>MOD(6226-1,101)</f>
        <v>64</v>
      </c>
    </row>
    <row r="6227">
      <c r="A6227">
        <f>MOD(6227-1,101)</f>
        <v>65</v>
      </c>
    </row>
    <row r="6228">
      <c r="A6228">
        <f>MOD(6228-1,101)</f>
        <v>66</v>
      </c>
    </row>
    <row r="6229">
      <c r="A6229">
        <f>MOD(6229-1,101)</f>
        <v>67</v>
      </c>
    </row>
    <row r="6230">
      <c r="A6230">
        <f>MOD(6230-1,101)</f>
        <v>68</v>
      </c>
    </row>
    <row r="6231">
      <c r="A6231">
        <f>MOD(6231-1,101)</f>
        <v>69</v>
      </c>
    </row>
    <row r="6232">
      <c r="A6232">
        <f>MOD(6232-1,101)</f>
        <v>70</v>
      </c>
    </row>
    <row r="6233">
      <c r="A6233">
        <f>MOD(6233-1,101)</f>
        <v>71</v>
      </c>
    </row>
    <row r="6234">
      <c r="A6234">
        <f>MOD(6234-1,101)</f>
        <v>72</v>
      </c>
    </row>
    <row r="6235">
      <c r="A6235">
        <f>MOD(6235-1,101)</f>
        <v>73</v>
      </c>
    </row>
    <row r="6236">
      <c r="A6236">
        <f>MOD(6236-1,101)</f>
        <v>74</v>
      </c>
    </row>
    <row r="6237">
      <c r="A6237">
        <f>MOD(6237-1,101)</f>
        <v>75</v>
      </c>
    </row>
    <row r="6238">
      <c r="A6238">
        <f>MOD(6238-1,101)</f>
        <v>76</v>
      </c>
    </row>
    <row r="6239">
      <c r="A6239">
        <f>MOD(6239-1,101)</f>
        <v>77</v>
      </c>
    </row>
    <row r="6240">
      <c r="A6240">
        <f>MOD(6240-1,101)</f>
        <v>78</v>
      </c>
    </row>
    <row r="6241">
      <c r="A6241">
        <f>MOD(6241-1,101)</f>
        <v>79</v>
      </c>
    </row>
    <row r="6242">
      <c r="A6242">
        <f>MOD(6242-1,101)</f>
        <v>80</v>
      </c>
    </row>
    <row r="6243">
      <c r="A6243">
        <f>MOD(6243-1,101)</f>
        <v>81</v>
      </c>
    </row>
    <row r="6244">
      <c r="A6244">
        <f>MOD(6244-1,101)</f>
        <v>82</v>
      </c>
    </row>
    <row r="6245">
      <c r="A6245">
        <f>MOD(6245-1,101)</f>
        <v>83</v>
      </c>
    </row>
    <row r="6246">
      <c r="A6246">
        <f>MOD(6246-1,101)</f>
        <v>84</v>
      </c>
    </row>
    <row r="6247">
      <c r="A6247">
        <f>MOD(6247-1,101)</f>
        <v>85</v>
      </c>
    </row>
    <row r="6248">
      <c r="A6248">
        <f>MOD(6248-1,101)</f>
        <v>86</v>
      </c>
    </row>
    <row r="6249">
      <c r="A6249">
        <f>MOD(6249-1,101)</f>
        <v>87</v>
      </c>
    </row>
    <row r="6250">
      <c r="A6250">
        <f>MOD(6250-1,101)</f>
        <v>88</v>
      </c>
    </row>
    <row r="6251">
      <c r="A6251">
        <f>MOD(6251-1,101)</f>
        <v>89</v>
      </c>
    </row>
    <row r="6252">
      <c r="A6252">
        <f>MOD(6252-1,101)</f>
        <v>90</v>
      </c>
    </row>
    <row r="6253">
      <c r="A6253">
        <f>MOD(6253-1,101)</f>
        <v>91</v>
      </c>
    </row>
    <row r="6254">
      <c r="A6254">
        <f>MOD(6254-1,101)</f>
        <v>92</v>
      </c>
    </row>
    <row r="6255">
      <c r="A6255">
        <f>MOD(6255-1,101)</f>
        <v>93</v>
      </c>
    </row>
    <row r="6256">
      <c r="A6256">
        <f>MOD(6256-1,101)</f>
        <v>94</v>
      </c>
    </row>
    <row r="6257">
      <c r="A6257">
        <f>MOD(6257-1,101)</f>
        <v>95</v>
      </c>
    </row>
    <row r="6258">
      <c r="A6258">
        <f>MOD(6258-1,101)</f>
        <v>96</v>
      </c>
    </row>
    <row r="6259">
      <c r="A6259">
        <f>MOD(6259-1,101)</f>
        <v>97</v>
      </c>
    </row>
    <row r="6260">
      <c r="A6260">
        <f>MOD(6260-1,101)</f>
        <v>98</v>
      </c>
    </row>
    <row r="6261">
      <c r="A6261">
        <f>MOD(6261-1,101)</f>
        <v>99</v>
      </c>
    </row>
    <row r="6262">
      <c r="A6262">
        <f>MOD(6262-1,101)</f>
        <v>100</v>
      </c>
    </row>
    <row r="6263">
      <c r="A6263">
        <f>MOD(6263-1,101)</f>
        <v>0</v>
      </c>
    </row>
    <row r="6264">
      <c r="A6264">
        <f>MOD(6264-1,101)</f>
        <v>1</v>
      </c>
    </row>
    <row r="6265">
      <c r="A6265">
        <f>MOD(6265-1,101)</f>
        <v>2</v>
      </c>
    </row>
    <row r="6266">
      <c r="A6266">
        <f>MOD(6266-1,101)</f>
        <v>3</v>
      </c>
    </row>
    <row r="6267">
      <c r="A6267">
        <f>MOD(6267-1,101)</f>
        <v>4</v>
      </c>
    </row>
    <row r="6268">
      <c r="A6268">
        <f>MOD(6268-1,101)</f>
        <v>5</v>
      </c>
    </row>
    <row r="6269">
      <c r="A6269">
        <f>MOD(6269-1,101)</f>
        <v>6</v>
      </c>
    </row>
    <row r="6270">
      <c r="A6270">
        <f>MOD(6270-1,101)</f>
        <v>7</v>
      </c>
    </row>
    <row r="6271">
      <c r="A6271">
        <f>MOD(6271-1,101)</f>
        <v>8</v>
      </c>
    </row>
    <row r="6272">
      <c r="A6272">
        <f>MOD(6272-1,101)</f>
        <v>9</v>
      </c>
    </row>
    <row r="6273">
      <c r="A6273">
        <f>MOD(6273-1,101)</f>
        <v>10</v>
      </c>
    </row>
    <row r="6274">
      <c r="A6274">
        <f>MOD(6274-1,101)</f>
        <v>11</v>
      </c>
    </row>
    <row r="6275">
      <c r="A6275">
        <f>MOD(6275-1,101)</f>
        <v>12</v>
      </c>
    </row>
    <row r="6276">
      <c r="A6276">
        <f>MOD(6276-1,101)</f>
        <v>13</v>
      </c>
    </row>
    <row r="6277">
      <c r="A6277">
        <f>MOD(6277-1,101)</f>
        <v>14</v>
      </c>
    </row>
    <row r="6278">
      <c r="A6278">
        <f>MOD(6278-1,101)</f>
        <v>15</v>
      </c>
    </row>
    <row r="6279">
      <c r="A6279">
        <f>MOD(6279-1,101)</f>
        <v>16</v>
      </c>
    </row>
    <row r="6280">
      <c r="A6280">
        <f>MOD(6280-1,101)</f>
        <v>17</v>
      </c>
    </row>
    <row r="6281">
      <c r="A6281">
        <f>MOD(6281-1,101)</f>
        <v>18</v>
      </c>
    </row>
    <row r="6282">
      <c r="A6282">
        <f>MOD(6282-1,101)</f>
        <v>19</v>
      </c>
    </row>
    <row r="6283">
      <c r="A6283">
        <f>MOD(6283-1,101)</f>
        <v>20</v>
      </c>
    </row>
    <row r="6284">
      <c r="A6284">
        <f>MOD(6284-1,101)</f>
        <v>21</v>
      </c>
    </row>
    <row r="6285">
      <c r="A6285">
        <f>MOD(6285-1,101)</f>
        <v>22</v>
      </c>
    </row>
    <row r="6286">
      <c r="A6286">
        <f>MOD(6286-1,101)</f>
        <v>23</v>
      </c>
    </row>
    <row r="6287">
      <c r="A6287">
        <f>MOD(6287-1,101)</f>
        <v>24</v>
      </c>
    </row>
    <row r="6288">
      <c r="A6288">
        <f>MOD(6288-1,101)</f>
        <v>25</v>
      </c>
    </row>
    <row r="6289">
      <c r="A6289">
        <f>MOD(6289-1,101)</f>
        <v>26</v>
      </c>
    </row>
    <row r="6290">
      <c r="A6290">
        <f>MOD(6290-1,101)</f>
        <v>27</v>
      </c>
    </row>
    <row r="6291">
      <c r="A6291">
        <f>MOD(6291-1,101)</f>
        <v>28</v>
      </c>
    </row>
    <row r="6292">
      <c r="A6292">
        <f>MOD(6292-1,101)</f>
        <v>29</v>
      </c>
    </row>
    <row r="6293">
      <c r="A6293">
        <f>MOD(6293-1,101)</f>
        <v>30</v>
      </c>
    </row>
    <row r="6294">
      <c r="A6294">
        <f>MOD(6294-1,101)</f>
        <v>31</v>
      </c>
    </row>
    <row r="6295">
      <c r="A6295">
        <f>MOD(6295-1,101)</f>
        <v>32</v>
      </c>
    </row>
    <row r="6296">
      <c r="A6296">
        <f>MOD(6296-1,101)</f>
        <v>33</v>
      </c>
    </row>
    <row r="6297">
      <c r="A6297">
        <f>MOD(6297-1,101)</f>
        <v>34</v>
      </c>
    </row>
    <row r="6298">
      <c r="A6298">
        <f>MOD(6298-1,101)</f>
        <v>35</v>
      </c>
    </row>
    <row r="6299">
      <c r="A6299">
        <f>MOD(6299-1,101)</f>
        <v>36</v>
      </c>
    </row>
    <row r="6300">
      <c r="A6300">
        <f>MOD(6300-1,101)</f>
        <v>37</v>
      </c>
    </row>
    <row r="6301">
      <c r="A6301">
        <f>MOD(6301-1,101)</f>
        <v>38</v>
      </c>
    </row>
    <row r="6302">
      <c r="A6302">
        <f>MOD(6302-1,101)</f>
        <v>39</v>
      </c>
    </row>
    <row r="6303">
      <c r="A6303">
        <f>MOD(6303-1,101)</f>
        <v>40</v>
      </c>
    </row>
    <row r="6304">
      <c r="A6304">
        <f>MOD(6304-1,101)</f>
        <v>41</v>
      </c>
    </row>
    <row r="6305">
      <c r="A6305">
        <f>MOD(6305-1,101)</f>
        <v>42</v>
      </c>
    </row>
    <row r="6306">
      <c r="A6306">
        <f>MOD(6306-1,101)</f>
        <v>43</v>
      </c>
    </row>
    <row r="6307">
      <c r="A6307">
        <f>MOD(6307-1,101)</f>
        <v>44</v>
      </c>
    </row>
    <row r="6308">
      <c r="A6308">
        <f>MOD(6308-1,101)</f>
        <v>45</v>
      </c>
    </row>
    <row r="6309">
      <c r="A6309">
        <f>MOD(6309-1,101)</f>
        <v>46</v>
      </c>
    </row>
    <row r="6310">
      <c r="A6310">
        <f>MOD(6310-1,101)</f>
        <v>47</v>
      </c>
    </row>
    <row r="6311">
      <c r="A6311">
        <f>MOD(6311-1,101)</f>
        <v>48</v>
      </c>
    </row>
    <row r="6312">
      <c r="A6312">
        <f>MOD(6312-1,101)</f>
        <v>49</v>
      </c>
    </row>
    <row r="6313">
      <c r="A6313">
        <f>MOD(6313-1,101)</f>
        <v>50</v>
      </c>
    </row>
    <row r="6314">
      <c r="A6314">
        <f>MOD(6314-1,101)</f>
        <v>51</v>
      </c>
    </row>
    <row r="6315">
      <c r="A6315">
        <f>MOD(6315-1,101)</f>
        <v>52</v>
      </c>
    </row>
    <row r="6316">
      <c r="A6316">
        <f>MOD(6316-1,101)</f>
        <v>53</v>
      </c>
    </row>
    <row r="6317">
      <c r="A6317">
        <f>MOD(6317-1,101)</f>
        <v>54</v>
      </c>
    </row>
    <row r="6318">
      <c r="A6318">
        <f>MOD(6318-1,101)</f>
        <v>55</v>
      </c>
    </row>
    <row r="6319">
      <c r="A6319">
        <f>MOD(6319-1,101)</f>
        <v>56</v>
      </c>
    </row>
    <row r="6320">
      <c r="A6320">
        <f>MOD(6320-1,101)</f>
        <v>57</v>
      </c>
    </row>
    <row r="6321">
      <c r="A6321">
        <f>MOD(6321-1,101)</f>
        <v>58</v>
      </c>
    </row>
    <row r="6322">
      <c r="A6322">
        <f>MOD(6322-1,101)</f>
        <v>59</v>
      </c>
    </row>
    <row r="6323">
      <c r="A6323">
        <f>MOD(6323-1,101)</f>
        <v>60</v>
      </c>
    </row>
    <row r="6324">
      <c r="A6324">
        <f>MOD(6324-1,101)</f>
        <v>61</v>
      </c>
    </row>
    <row r="6325">
      <c r="A6325">
        <f>MOD(6325-1,101)</f>
        <v>62</v>
      </c>
    </row>
    <row r="6326">
      <c r="A6326">
        <f>MOD(6326-1,101)</f>
        <v>63</v>
      </c>
    </row>
    <row r="6327">
      <c r="A6327">
        <f>MOD(6327-1,101)</f>
        <v>64</v>
      </c>
    </row>
    <row r="6328">
      <c r="A6328">
        <f>MOD(6328-1,101)</f>
        <v>65</v>
      </c>
    </row>
    <row r="6329">
      <c r="A6329">
        <f>MOD(6329-1,101)</f>
        <v>66</v>
      </c>
    </row>
    <row r="6330">
      <c r="A6330">
        <f>MOD(6330-1,101)</f>
        <v>67</v>
      </c>
    </row>
    <row r="6331">
      <c r="A6331">
        <f>MOD(6331-1,101)</f>
        <v>68</v>
      </c>
    </row>
    <row r="6332">
      <c r="A6332">
        <f>MOD(6332-1,101)</f>
        <v>69</v>
      </c>
    </row>
    <row r="6333">
      <c r="A6333">
        <f>MOD(6333-1,101)</f>
        <v>70</v>
      </c>
    </row>
    <row r="6334">
      <c r="A6334">
        <f>MOD(6334-1,101)</f>
        <v>71</v>
      </c>
    </row>
    <row r="6335">
      <c r="A6335">
        <f>MOD(6335-1,101)</f>
        <v>72</v>
      </c>
    </row>
    <row r="6336">
      <c r="A6336">
        <f>MOD(6336-1,101)</f>
        <v>73</v>
      </c>
    </row>
    <row r="6337">
      <c r="A6337">
        <f>MOD(6337-1,101)</f>
        <v>74</v>
      </c>
    </row>
    <row r="6338">
      <c r="A6338">
        <f>MOD(6338-1,101)</f>
        <v>75</v>
      </c>
    </row>
    <row r="6339">
      <c r="A6339">
        <f>MOD(6339-1,101)</f>
        <v>76</v>
      </c>
    </row>
    <row r="6340">
      <c r="A6340">
        <f>MOD(6340-1,101)</f>
        <v>77</v>
      </c>
    </row>
    <row r="6341">
      <c r="A6341">
        <f>MOD(6341-1,101)</f>
        <v>78</v>
      </c>
    </row>
    <row r="6342">
      <c r="A6342">
        <f>MOD(6342-1,101)</f>
        <v>79</v>
      </c>
    </row>
    <row r="6343">
      <c r="A6343">
        <f>MOD(6343-1,101)</f>
        <v>80</v>
      </c>
    </row>
    <row r="6344">
      <c r="A6344">
        <f>MOD(6344-1,101)</f>
        <v>81</v>
      </c>
    </row>
    <row r="6345">
      <c r="A6345">
        <f>MOD(6345-1,101)</f>
        <v>82</v>
      </c>
    </row>
    <row r="6346">
      <c r="A6346">
        <f>MOD(6346-1,101)</f>
        <v>83</v>
      </c>
    </row>
    <row r="6347">
      <c r="A6347">
        <f>MOD(6347-1,101)</f>
        <v>84</v>
      </c>
    </row>
    <row r="6348">
      <c r="A6348">
        <f>MOD(6348-1,101)</f>
        <v>85</v>
      </c>
    </row>
    <row r="6349">
      <c r="A6349">
        <f>MOD(6349-1,101)</f>
        <v>86</v>
      </c>
    </row>
    <row r="6350">
      <c r="A6350">
        <f>MOD(6350-1,101)</f>
        <v>87</v>
      </c>
    </row>
    <row r="6351">
      <c r="A6351">
        <f>MOD(6351-1,101)</f>
        <v>88</v>
      </c>
    </row>
    <row r="6352">
      <c r="A6352">
        <f>MOD(6352-1,101)</f>
        <v>89</v>
      </c>
    </row>
    <row r="6353">
      <c r="A6353">
        <f>MOD(6353-1,101)</f>
        <v>90</v>
      </c>
    </row>
    <row r="6354">
      <c r="A6354">
        <f>MOD(6354-1,101)</f>
        <v>91</v>
      </c>
    </row>
    <row r="6355">
      <c r="A6355">
        <f>MOD(6355-1,101)</f>
        <v>92</v>
      </c>
    </row>
    <row r="6356">
      <c r="A6356">
        <f>MOD(6356-1,101)</f>
        <v>93</v>
      </c>
    </row>
    <row r="6357">
      <c r="A6357">
        <f>MOD(6357-1,101)</f>
        <v>94</v>
      </c>
    </row>
    <row r="6358">
      <c r="A6358">
        <f>MOD(6358-1,101)</f>
        <v>95</v>
      </c>
    </row>
    <row r="6359">
      <c r="A6359">
        <f>MOD(6359-1,101)</f>
        <v>96</v>
      </c>
    </row>
    <row r="6360">
      <c r="A6360">
        <f>MOD(6360-1,101)</f>
        <v>97</v>
      </c>
    </row>
    <row r="6361">
      <c r="A6361">
        <f>MOD(6361-1,101)</f>
        <v>98</v>
      </c>
    </row>
    <row r="6362">
      <c r="A6362">
        <f>MOD(6362-1,101)</f>
        <v>99</v>
      </c>
    </row>
    <row r="6363">
      <c r="A6363">
        <f>MOD(6363-1,101)</f>
        <v>100</v>
      </c>
    </row>
    <row r="6364">
      <c r="A6364">
        <f>MOD(6364-1,101)</f>
        <v>0</v>
      </c>
    </row>
    <row r="6365">
      <c r="A6365">
        <f>MOD(6365-1,101)</f>
        <v>1</v>
      </c>
    </row>
    <row r="6366">
      <c r="A6366">
        <f>MOD(6366-1,101)</f>
        <v>2</v>
      </c>
    </row>
    <row r="6367">
      <c r="A6367">
        <f>MOD(6367-1,101)</f>
        <v>3</v>
      </c>
    </row>
    <row r="6368">
      <c r="A6368">
        <f>MOD(6368-1,101)</f>
        <v>4</v>
      </c>
    </row>
    <row r="6369">
      <c r="A6369">
        <f>MOD(6369-1,101)</f>
        <v>5</v>
      </c>
    </row>
    <row r="6370">
      <c r="A6370">
        <f>MOD(6370-1,101)</f>
        <v>6</v>
      </c>
    </row>
    <row r="6371">
      <c r="A6371">
        <f>MOD(6371-1,101)</f>
        <v>7</v>
      </c>
    </row>
    <row r="6372">
      <c r="A6372">
        <f>MOD(6372-1,101)</f>
        <v>8</v>
      </c>
    </row>
    <row r="6373">
      <c r="A6373">
        <f>MOD(6373-1,101)</f>
        <v>9</v>
      </c>
    </row>
    <row r="6374">
      <c r="A6374">
        <f>MOD(6374-1,101)</f>
        <v>10</v>
      </c>
    </row>
    <row r="6375">
      <c r="A6375">
        <f>MOD(6375-1,101)</f>
        <v>11</v>
      </c>
    </row>
    <row r="6376">
      <c r="A6376">
        <f>MOD(6376-1,101)</f>
        <v>12</v>
      </c>
    </row>
    <row r="6377">
      <c r="A6377">
        <f>MOD(6377-1,101)</f>
        <v>13</v>
      </c>
    </row>
    <row r="6378">
      <c r="A6378">
        <f>MOD(6378-1,101)</f>
        <v>14</v>
      </c>
    </row>
    <row r="6379">
      <c r="A6379">
        <f>MOD(6379-1,101)</f>
        <v>15</v>
      </c>
    </row>
    <row r="6380">
      <c r="A6380">
        <f>MOD(6380-1,101)</f>
        <v>16</v>
      </c>
    </row>
    <row r="6381">
      <c r="A6381">
        <f>MOD(6381-1,101)</f>
        <v>17</v>
      </c>
    </row>
    <row r="6382">
      <c r="A6382">
        <f>MOD(6382-1,101)</f>
        <v>18</v>
      </c>
    </row>
    <row r="6383">
      <c r="A6383">
        <f>MOD(6383-1,101)</f>
        <v>19</v>
      </c>
    </row>
    <row r="6384">
      <c r="A6384">
        <f>MOD(6384-1,101)</f>
        <v>20</v>
      </c>
    </row>
    <row r="6385">
      <c r="A6385">
        <f>MOD(6385-1,101)</f>
        <v>21</v>
      </c>
    </row>
    <row r="6386">
      <c r="A6386">
        <f>MOD(6386-1,101)</f>
        <v>22</v>
      </c>
    </row>
    <row r="6387">
      <c r="A6387">
        <f>MOD(6387-1,101)</f>
        <v>23</v>
      </c>
    </row>
    <row r="6388">
      <c r="A6388">
        <f>MOD(6388-1,101)</f>
        <v>24</v>
      </c>
    </row>
    <row r="6389">
      <c r="A6389">
        <f>MOD(6389-1,101)</f>
        <v>25</v>
      </c>
    </row>
    <row r="6390">
      <c r="A6390">
        <f>MOD(6390-1,101)</f>
        <v>26</v>
      </c>
    </row>
    <row r="6391">
      <c r="A6391">
        <f>MOD(6391-1,101)</f>
        <v>27</v>
      </c>
    </row>
    <row r="6392">
      <c r="A6392">
        <f>MOD(6392-1,101)</f>
        <v>28</v>
      </c>
    </row>
    <row r="6393">
      <c r="A6393">
        <f>MOD(6393-1,101)</f>
        <v>29</v>
      </c>
    </row>
    <row r="6394">
      <c r="A6394">
        <f>MOD(6394-1,101)</f>
        <v>30</v>
      </c>
    </row>
    <row r="6395">
      <c r="A6395">
        <f>MOD(6395-1,101)</f>
        <v>31</v>
      </c>
    </row>
    <row r="6396">
      <c r="A6396">
        <f>MOD(6396-1,101)</f>
        <v>32</v>
      </c>
    </row>
    <row r="6397">
      <c r="A6397">
        <f>MOD(6397-1,101)</f>
        <v>33</v>
      </c>
    </row>
    <row r="6398">
      <c r="A6398">
        <f>MOD(6398-1,101)</f>
        <v>34</v>
      </c>
    </row>
    <row r="6399">
      <c r="A6399">
        <f>MOD(6399-1,101)</f>
        <v>35</v>
      </c>
    </row>
    <row r="6400">
      <c r="A6400">
        <f>MOD(6400-1,101)</f>
        <v>36</v>
      </c>
    </row>
    <row r="6401">
      <c r="A6401">
        <f>MOD(6401-1,101)</f>
        <v>37</v>
      </c>
    </row>
    <row r="6402">
      <c r="A6402">
        <f>MOD(6402-1,101)</f>
        <v>38</v>
      </c>
    </row>
    <row r="6403">
      <c r="A6403">
        <f>MOD(6403-1,101)</f>
        <v>39</v>
      </c>
    </row>
    <row r="6404">
      <c r="A6404">
        <f>MOD(6404-1,101)</f>
        <v>40</v>
      </c>
    </row>
    <row r="6405">
      <c r="A6405">
        <f>MOD(6405-1,101)</f>
        <v>41</v>
      </c>
    </row>
    <row r="6406">
      <c r="A6406">
        <f>MOD(6406-1,101)</f>
        <v>42</v>
      </c>
    </row>
    <row r="6407">
      <c r="A6407">
        <f>MOD(6407-1,101)</f>
        <v>43</v>
      </c>
    </row>
    <row r="6408">
      <c r="A6408">
        <f>MOD(6408-1,101)</f>
        <v>44</v>
      </c>
    </row>
    <row r="6409">
      <c r="A6409">
        <f>MOD(6409-1,101)</f>
        <v>45</v>
      </c>
    </row>
    <row r="6410">
      <c r="A6410">
        <f>MOD(6410-1,101)</f>
        <v>46</v>
      </c>
    </row>
    <row r="6411">
      <c r="A6411">
        <f>MOD(6411-1,101)</f>
        <v>47</v>
      </c>
    </row>
    <row r="6412">
      <c r="A6412">
        <f>MOD(6412-1,101)</f>
        <v>48</v>
      </c>
    </row>
    <row r="6413">
      <c r="A6413">
        <f>MOD(6413-1,101)</f>
        <v>49</v>
      </c>
    </row>
    <row r="6414">
      <c r="A6414">
        <f>MOD(6414-1,101)</f>
        <v>50</v>
      </c>
    </row>
    <row r="6415">
      <c r="A6415">
        <f>MOD(6415-1,101)</f>
        <v>51</v>
      </c>
    </row>
    <row r="6416">
      <c r="A6416">
        <f>MOD(6416-1,101)</f>
        <v>52</v>
      </c>
    </row>
    <row r="6417">
      <c r="A6417">
        <f>MOD(6417-1,101)</f>
        <v>53</v>
      </c>
    </row>
    <row r="6418">
      <c r="A6418">
        <f>MOD(6418-1,101)</f>
        <v>54</v>
      </c>
    </row>
    <row r="6419">
      <c r="A6419">
        <f>MOD(6419-1,101)</f>
        <v>55</v>
      </c>
    </row>
    <row r="6420">
      <c r="A6420">
        <f>MOD(6420-1,101)</f>
        <v>56</v>
      </c>
    </row>
    <row r="6421">
      <c r="A6421">
        <f>MOD(6421-1,101)</f>
        <v>57</v>
      </c>
    </row>
    <row r="6422">
      <c r="A6422">
        <f>MOD(6422-1,101)</f>
        <v>58</v>
      </c>
    </row>
    <row r="6423">
      <c r="A6423">
        <f>MOD(6423-1,101)</f>
        <v>59</v>
      </c>
    </row>
    <row r="6424">
      <c r="A6424">
        <f>MOD(6424-1,101)</f>
        <v>60</v>
      </c>
    </row>
    <row r="6425">
      <c r="A6425">
        <f>MOD(6425-1,101)</f>
        <v>61</v>
      </c>
    </row>
    <row r="6426">
      <c r="A6426">
        <f>MOD(6426-1,101)</f>
        <v>62</v>
      </c>
    </row>
    <row r="6427">
      <c r="A6427">
        <f>MOD(6427-1,101)</f>
        <v>63</v>
      </c>
    </row>
    <row r="6428">
      <c r="A6428">
        <f>MOD(6428-1,101)</f>
        <v>64</v>
      </c>
    </row>
    <row r="6429">
      <c r="A6429">
        <f>MOD(6429-1,101)</f>
        <v>65</v>
      </c>
    </row>
    <row r="6430">
      <c r="A6430">
        <f>MOD(6430-1,101)</f>
        <v>66</v>
      </c>
    </row>
    <row r="6431">
      <c r="A6431">
        <f>MOD(6431-1,101)</f>
        <v>67</v>
      </c>
    </row>
    <row r="6432">
      <c r="A6432">
        <f>MOD(6432-1,101)</f>
        <v>68</v>
      </c>
    </row>
    <row r="6433">
      <c r="A6433">
        <f>MOD(6433-1,101)</f>
        <v>69</v>
      </c>
    </row>
    <row r="6434">
      <c r="A6434">
        <f>MOD(6434-1,101)</f>
        <v>70</v>
      </c>
    </row>
    <row r="6435">
      <c r="A6435">
        <f>MOD(6435-1,101)</f>
        <v>71</v>
      </c>
    </row>
    <row r="6436">
      <c r="A6436">
        <f>MOD(6436-1,101)</f>
        <v>72</v>
      </c>
    </row>
    <row r="6437">
      <c r="A6437">
        <f>MOD(6437-1,101)</f>
        <v>73</v>
      </c>
    </row>
    <row r="6438">
      <c r="A6438">
        <f>MOD(6438-1,101)</f>
        <v>74</v>
      </c>
    </row>
    <row r="6439">
      <c r="A6439">
        <f>MOD(6439-1,101)</f>
        <v>75</v>
      </c>
    </row>
    <row r="6440">
      <c r="A6440">
        <f>MOD(6440-1,101)</f>
        <v>76</v>
      </c>
    </row>
    <row r="6441">
      <c r="A6441">
        <f>MOD(6441-1,101)</f>
        <v>77</v>
      </c>
    </row>
    <row r="6442">
      <c r="A6442">
        <f>MOD(6442-1,101)</f>
        <v>78</v>
      </c>
    </row>
    <row r="6443">
      <c r="A6443">
        <f>MOD(6443-1,101)</f>
        <v>79</v>
      </c>
    </row>
    <row r="6444">
      <c r="A6444">
        <f>MOD(6444-1,101)</f>
        <v>80</v>
      </c>
    </row>
    <row r="6445">
      <c r="A6445">
        <f>MOD(6445-1,101)</f>
        <v>81</v>
      </c>
    </row>
    <row r="6446">
      <c r="A6446">
        <f>MOD(6446-1,101)</f>
        <v>82</v>
      </c>
    </row>
    <row r="6447">
      <c r="A6447">
        <f>MOD(6447-1,101)</f>
        <v>83</v>
      </c>
    </row>
    <row r="6448">
      <c r="A6448">
        <f>MOD(6448-1,101)</f>
        <v>84</v>
      </c>
    </row>
    <row r="6449">
      <c r="A6449">
        <f>MOD(6449-1,101)</f>
        <v>85</v>
      </c>
    </row>
    <row r="6450">
      <c r="A6450">
        <f>MOD(6450-1,101)</f>
        <v>86</v>
      </c>
    </row>
    <row r="6451">
      <c r="A6451">
        <f>MOD(6451-1,101)</f>
        <v>87</v>
      </c>
    </row>
    <row r="6452">
      <c r="A6452">
        <f>MOD(6452-1,101)</f>
        <v>88</v>
      </c>
    </row>
    <row r="6453">
      <c r="A6453">
        <f>MOD(6453-1,101)</f>
        <v>89</v>
      </c>
    </row>
    <row r="6454">
      <c r="A6454">
        <f>MOD(6454-1,101)</f>
        <v>90</v>
      </c>
    </row>
    <row r="6455">
      <c r="A6455">
        <f>MOD(6455-1,101)</f>
        <v>91</v>
      </c>
    </row>
    <row r="6456">
      <c r="A6456">
        <f>MOD(6456-1,101)</f>
        <v>92</v>
      </c>
    </row>
    <row r="6457">
      <c r="A6457">
        <f>MOD(6457-1,101)</f>
        <v>93</v>
      </c>
    </row>
    <row r="6458">
      <c r="A6458">
        <f>MOD(6458-1,101)</f>
        <v>94</v>
      </c>
    </row>
    <row r="6459">
      <c r="A6459">
        <f>MOD(6459-1,101)</f>
        <v>95</v>
      </c>
    </row>
    <row r="6460">
      <c r="A6460">
        <f>MOD(6460-1,101)</f>
        <v>96</v>
      </c>
    </row>
    <row r="6461">
      <c r="A6461">
        <f>MOD(6461-1,101)</f>
        <v>97</v>
      </c>
    </row>
    <row r="6462">
      <c r="A6462">
        <f>MOD(6462-1,101)</f>
        <v>98</v>
      </c>
    </row>
    <row r="6463">
      <c r="A6463">
        <f>MOD(6463-1,101)</f>
        <v>99</v>
      </c>
    </row>
    <row r="6464">
      <c r="A6464">
        <f>MOD(6464-1,101)</f>
        <v>100</v>
      </c>
    </row>
    <row r="6465">
      <c r="A6465">
        <f>MOD(6465-1,101)</f>
        <v>0</v>
      </c>
    </row>
    <row r="6466">
      <c r="A6466">
        <f>MOD(6466-1,101)</f>
        <v>1</v>
      </c>
    </row>
    <row r="6467">
      <c r="A6467">
        <f>MOD(6467-1,101)</f>
        <v>2</v>
      </c>
    </row>
    <row r="6468">
      <c r="A6468">
        <f>MOD(6468-1,101)</f>
        <v>3</v>
      </c>
    </row>
    <row r="6469">
      <c r="A6469">
        <f>MOD(6469-1,101)</f>
        <v>4</v>
      </c>
    </row>
    <row r="6470">
      <c r="A6470">
        <f>MOD(6470-1,101)</f>
        <v>5</v>
      </c>
    </row>
    <row r="6471">
      <c r="A6471">
        <f>MOD(6471-1,101)</f>
        <v>6</v>
      </c>
    </row>
    <row r="6472">
      <c r="A6472">
        <f>MOD(6472-1,101)</f>
        <v>7</v>
      </c>
    </row>
    <row r="6473">
      <c r="A6473">
        <f>MOD(6473-1,101)</f>
        <v>8</v>
      </c>
    </row>
    <row r="6474">
      <c r="A6474">
        <f>MOD(6474-1,101)</f>
        <v>9</v>
      </c>
    </row>
    <row r="6475">
      <c r="A6475">
        <f>MOD(6475-1,101)</f>
        <v>10</v>
      </c>
    </row>
    <row r="6476">
      <c r="A6476">
        <f>MOD(6476-1,101)</f>
        <v>11</v>
      </c>
    </row>
    <row r="6477">
      <c r="A6477">
        <f>MOD(6477-1,101)</f>
        <v>12</v>
      </c>
    </row>
    <row r="6478">
      <c r="A6478">
        <f>MOD(6478-1,101)</f>
        <v>13</v>
      </c>
    </row>
    <row r="6479">
      <c r="A6479">
        <f>MOD(6479-1,101)</f>
        <v>14</v>
      </c>
    </row>
    <row r="6480">
      <c r="A6480">
        <f>MOD(6480-1,101)</f>
        <v>15</v>
      </c>
    </row>
    <row r="6481">
      <c r="A6481">
        <f>MOD(6481-1,101)</f>
        <v>16</v>
      </c>
    </row>
    <row r="6482">
      <c r="A6482">
        <f>MOD(6482-1,101)</f>
        <v>17</v>
      </c>
    </row>
    <row r="6483">
      <c r="A6483">
        <f>MOD(6483-1,101)</f>
        <v>18</v>
      </c>
    </row>
    <row r="6484">
      <c r="A6484">
        <f>MOD(6484-1,101)</f>
        <v>19</v>
      </c>
    </row>
    <row r="6485">
      <c r="A6485">
        <f>MOD(6485-1,101)</f>
        <v>20</v>
      </c>
    </row>
    <row r="6486">
      <c r="A6486">
        <f>MOD(6486-1,101)</f>
        <v>21</v>
      </c>
    </row>
    <row r="6487">
      <c r="A6487">
        <f>MOD(6487-1,101)</f>
        <v>22</v>
      </c>
    </row>
    <row r="6488">
      <c r="A6488">
        <f>MOD(6488-1,101)</f>
        <v>23</v>
      </c>
    </row>
    <row r="6489">
      <c r="A6489">
        <f>MOD(6489-1,101)</f>
        <v>24</v>
      </c>
    </row>
    <row r="6490">
      <c r="A6490">
        <f>MOD(6490-1,101)</f>
        <v>25</v>
      </c>
    </row>
    <row r="6491">
      <c r="A6491">
        <f>MOD(6491-1,101)</f>
        <v>26</v>
      </c>
    </row>
    <row r="6492">
      <c r="A6492">
        <f>MOD(6492-1,101)</f>
        <v>27</v>
      </c>
    </row>
    <row r="6493">
      <c r="A6493">
        <f>MOD(6493-1,101)</f>
        <v>28</v>
      </c>
    </row>
    <row r="6494">
      <c r="A6494">
        <f>MOD(6494-1,101)</f>
        <v>29</v>
      </c>
    </row>
    <row r="6495">
      <c r="A6495">
        <f>MOD(6495-1,101)</f>
        <v>30</v>
      </c>
    </row>
    <row r="6496">
      <c r="A6496">
        <f>MOD(6496-1,101)</f>
        <v>31</v>
      </c>
    </row>
    <row r="6497">
      <c r="A6497">
        <f>MOD(6497-1,101)</f>
        <v>32</v>
      </c>
    </row>
    <row r="6498">
      <c r="A6498">
        <f>MOD(6498-1,101)</f>
        <v>33</v>
      </c>
    </row>
    <row r="6499">
      <c r="A6499">
        <f>MOD(6499-1,101)</f>
        <v>34</v>
      </c>
    </row>
    <row r="6500">
      <c r="A6500">
        <f>MOD(6500-1,101)</f>
        <v>35</v>
      </c>
    </row>
    <row r="6501">
      <c r="A6501">
        <f>MOD(6501-1,101)</f>
        <v>36</v>
      </c>
    </row>
    <row r="6502">
      <c r="A6502">
        <f>MOD(6502-1,101)</f>
        <v>37</v>
      </c>
    </row>
    <row r="6503">
      <c r="A6503">
        <f>MOD(6503-1,101)</f>
        <v>38</v>
      </c>
    </row>
    <row r="6504">
      <c r="A6504">
        <f>MOD(6504-1,101)</f>
        <v>39</v>
      </c>
    </row>
    <row r="6505">
      <c r="A6505">
        <f>MOD(6505-1,101)</f>
        <v>40</v>
      </c>
    </row>
    <row r="6506">
      <c r="A6506">
        <f>MOD(6506-1,101)</f>
        <v>41</v>
      </c>
    </row>
    <row r="6507">
      <c r="A6507">
        <f>MOD(6507-1,101)</f>
        <v>42</v>
      </c>
    </row>
    <row r="6508">
      <c r="A6508">
        <f>MOD(6508-1,101)</f>
        <v>43</v>
      </c>
    </row>
    <row r="6509">
      <c r="A6509">
        <f>MOD(6509-1,101)</f>
        <v>44</v>
      </c>
    </row>
    <row r="6510">
      <c r="A6510">
        <f>MOD(6510-1,101)</f>
        <v>45</v>
      </c>
    </row>
    <row r="6511">
      <c r="A6511">
        <f>MOD(6511-1,101)</f>
        <v>46</v>
      </c>
    </row>
    <row r="6512">
      <c r="A6512">
        <f>MOD(6512-1,101)</f>
        <v>47</v>
      </c>
    </row>
    <row r="6513">
      <c r="A6513">
        <f>MOD(6513-1,101)</f>
        <v>48</v>
      </c>
    </row>
    <row r="6514">
      <c r="A6514">
        <f>MOD(6514-1,101)</f>
        <v>49</v>
      </c>
    </row>
    <row r="6515">
      <c r="A6515">
        <f>MOD(6515-1,101)</f>
        <v>50</v>
      </c>
    </row>
    <row r="6516">
      <c r="A6516">
        <f>MOD(6516-1,101)</f>
        <v>51</v>
      </c>
    </row>
    <row r="6517">
      <c r="A6517">
        <f>MOD(6517-1,101)</f>
        <v>52</v>
      </c>
    </row>
    <row r="6518">
      <c r="A6518">
        <f>MOD(6518-1,101)</f>
        <v>53</v>
      </c>
    </row>
    <row r="6519">
      <c r="A6519">
        <f>MOD(6519-1,101)</f>
        <v>54</v>
      </c>
    </row>
    <row r="6520">
      <c r="A6520">
        <f>MOD(6520-1,101)</f>
        <v>55</v>
      </c>
    </row>
    <row r="6521">
      <c r="A6521">
        <f>MOD(6521-1,101)</f>
        <v>56</v>
      </c>
    </row>
    <row r="6522">
      <c r="A6522">
        <f>MOD(6522-1,101)</f>
        <v>57</v>
      </c>
    </row>
    <row r="6523">
      <c r="A6523">
        <f>MOD(6523-1,101)</f>
        <v>58</v>
      </c>
    </row>
    <row r="6524">
      <c r="A6524">
        <f>MOD(6524-1,101)</f>
        <v>59</v>
      </c>
    </row>
    <row r="6525">
      <c r="A6525">
        <f>MOD(6525-1,101)</f>
        <v>60</v>
      </c>
    </row>
    <row r="6526">
      <c r="A6526">
        <f>MOD(6526-1,101)</f>
        <v>61</v>
      </c>
    </row>
    <row r="6527">
      <c r="A6527">
        <f>MOD(6527-1,101)</f>
        <v>62</v>
      </c>
    </row>
    <row r="6528">
      <c r="A6528">
        <f>MOD(6528-1,101)</f>
        <v>63</v>
      </c>
    </row>
    <row r="6529">
      <c r="A6529">
        <f>MOD(6529-1,101)</f>
        <v>64</v>
      </c>
    </row>
    <row r="6530">
      <c r="A6530">
        <f>MOD(6530-1,101)</f>
        <v>65</v>
      </c>
    </row>
    <row r="6531">
      <c r="A6531">
        <f>MOD(6531-1,101)</f>
        <v>66</v>
      </c>
    </row>
    <row r="6532">
      <c r="A6532">
        <f>MOD(6532-1,101)</f>
        <v>67</v>
      </c>
    </row>
    <row r="6533">
      <c r="A6533">
        <f>MOD(6533-1,101)</f>
        <v>68</v>
      </c>
    </row>
    <row r="6534">
      <c r="A6534">
        <f>MOD(6534-1,101)</f>
        <v>69</v>
      </c>
    </row>
    <row r="6535">
      <c r="A6535">
        <f>MOD(6535-1,101)</f>
        <v>70</v>
      </c>
    </row>
    <row r="6536">
      <c r="A6536">
        <f>MOD(6536-1,101)</f>
        <v>71</v>
      </c>
    </row>
    <row r="6537">
      <c r="A6537">
        <f>MOD(6537-1,101)</f>
        <v>72</v>
      </c>
    </row>
    <row r="6538">
      <c r="A6538">
        <f>MOD(6538-1,101)</f>
        <v>73</v>
      </c>
    </row>
    <row r="6539">
      <c r="A6539">
        <f>MOD(6539-1,101)</f>
        <v>74</v>
      </c>
    </row>
    <row r="6540">
      <c r="A6540">
        <f>MOD(6540-1,101)</f>
        <v>75</v>
      </c>
    </row>
    <row r="6541">
      <c r="A6541">
        <f>MOD(6541-1,101)</f>
        <v>76</v>
      </c>
    </row>
    <row r="6542">
      <c r="A6542">
        <f>MOD(6542-1,101)</f>
        <v>77</v>
      </c>
    </row>
    <row r="6543">
      <c r="A6543">
        <f>MOD(6543-1,101)</f>
        <v>78</v>
      </c>
    </row>
    <row r="6544">
      <c r="A6544">
        <f>MOD(6544-1,101)</f>
        <v>79</v>
      </c>
    </row>
    <row r="6545">
      <c r="A6545">
        <f>MOD(6545-1,101)</f>
        <v>80</v>
      </c>
    </row>
    <row r="6546">
      <c r="A6546">
        <f>MOD(6546-1,101)</f>
        <v>81</v>
      </c>
    </row>
    <row r="6547">
      <c r="A6547">
        <f>MOD(6547-1,101)</f>
        <v>82</v>
      </c>
    </row>
    <row r="6548">
      <c r="A6548">
        <f>MOD(6548-1,101)</f>
        <v>83</v>
      </c>
    </row>
    <row r="6549">
      <c r="A6549">
        <f>MOD(6549-1,101)</f>
        <v>84</v>
      </c>
    </row>
    <row r="6550">
      <c r="A6550">
        <f>MOD(6550-1,101)</f>
        <v>85</v>
      </c>
    </row>
    <row r="6551">
      <c r="A6551">
        <f>MOD(6551-1,101)</f>
        <v>86</v>
      </c>
    </row>
    <row r="6552">
      <c r="A6552">
        <f>MOD(6552-1,101)</f>
        <v>87</v>
      </c>
    </row>
    <row r="6553">
      <c r="A6553">
        <f>MOD(6553-1,101)</f>
        <v>88</v>
      </c>
    </row>
    <row r="6554">
      <c r="A6554">
        <f>MOD(6554-1,101)</f>
        <v>89</v>
      </c>
    </row>
    <row r="6555">
      <c r="A6555">
        <f>MOD(6555-1,101)</f>
        <v>90</v>
      </c>
    </row>
    <row r="6556">
      <c r="A6556">
        <f>MOD(6556-1,101)</f>
        <v>91</v>
      </c>
    </row>
    <row r="6557">
      <c r="A6557">
        <f>MOD(6557-1,101)</f>
        <v>92</v>
      </c>
    </row>
    <row r="6558">
      <c r="A6558">
        <f>MOD(6558-1,101)</f>
        <v>93</v>
      </c>
    </row>
    <row r="6559">
      <c r="A6559">
        <f>MOD(6559-1,101)</f>
        <v>94</v>
      </c>
    </row>
    <row r="6560">
      <c r="A6560">
        <f>MOD(6560-1,101)</f>
        <v>95</v>
      </c>
    </row>
    <row r="6561">
      <c r="A6561">
        <f>MOD(6561-1,101)</f>
        <v>96</v>
      </c>
    </row>
    <row r="6562">
      <c r="A6562">
        <f>MOD(6562-1,101)</f>
        <v>97</v>
      </c>
    </row>
    <row r="6563">
      <c r="A6563">
        <f>MOD(6563-1,101)</f>
        <v>98</v>
      </c>
    </row>
    <row r="6564">
      <c r="A6564">
        <f>MOD(6564-1,101)</f>
        <v>99</v>
      </c>
    </row>
    <row r="6565">
      <c r="A6565">
        <f>MOD(6565-1,101)</f>
        <v>100</v>
      </c>
    </row>
    <row r="6566">
      <c r="A6566">
        <f>MOD(6566-1,101)</f>
        <v>0</v>
      </c>
    </row>
    <row r="6567">
      <c r="A6567">
        <f>MOD(6567-1,101)</f>
        <v>1</v>
      </c>
    </row>
    <row r="6568">
      <c r="A6568">
        <f>MOD(6568-1,101)</f>
        <v>2</v>
      </c>
    </row>
    <row r="6569">
      <c r="A6569">
        <f>MOD(6569-1,101)</f>
        <v>3</v>
      </c>
    </row>
    <row r="6570">
      <c r="A6570">
        <f>MOD(6570-1,101)</f>
        <v>4</v>
      </c>
    </row>
    <row r="6571">
      <c r="A6571">
        <f>MOD(6571-1,101)</f>
        <v>5</v>
      </c>
    </row>
    <row r="6572">
      <c r="A6572">
        <f>MOD(6572-1,101)</f>
        <v>6</v>
      </c>
    </row>
    <row r="6573">
      <c r="A6573">
        <f>MOD(6573-1,101)</f>
        <v>7</v>
      </c>
    </row>
    <row r="6574">
      <c r="A6574">
        <f>MOD(6574-1,101)</f>
        <v>8</v>
      </c>
    </row>
    <row r="6575">
      <c r="A6575">
        <f>MOD(6575-1,101)</f>
        <v>9</v>
      </c>
    </row>
    <row r="6576">
      <c r="A6576">
        <f>MOD(6576-1,101)</f>
        <v>10</v>
      </c>
    </row>
    <row r="6577">
      <c r="A6577">
        <f>MOD(6577-1,101)</f>
        <v>11</v>
      </c>
    </row>
    <row r="6578">
      <c r="A6578">
        <f>MOD(6578-1,101)</f>
        <v>12</v>
      </c>
    </row>
    <row r="6579">
      <c r="A6579">
        <f>MOD(6579-1,101)</f>
        <v>13</v>
      </c>
    </row>
    <row r="6580">
      <c r="A6580">
        <f>MOD(6580-1,101)</f>
        <v>14</v>
      </c>
    </row>
    <row r="6581">
      <c r="A6581">
        <f>MOD(6581-1,101)</f>
        <v>15</v>
      </c>
    </row>
    <row r="6582">
      <c r="A6582">
        <f>MOD(6582-1,101)</f>
        <v>16</v>
      </c>
    </row>
    <row r="6583">
      <c r="A6583">
        <f>MOD(6583-1,101)</f>
        <v>17</v>
      </c>
    </row>
    <row r="6584">
      <c r="A6584">
        <f>MOD(6584-1,101)</f>
        <v>18</v>
      </c>
    </row>
    <row r="6585">
      <c r="A6585">
        <f>MOD(6585-1,101)</f>
        <v>19</v>
      </c>
    </row>
    <row r="6586">
      <c r="A6586">
        <f>MOD(6586-1,101)</f>
        <v>20</v>
      </c>
    </row>
    <row r="6587">
      <c r="A6587">
        <f>MOD(6587-1,101)</f>
        <v>21</v>
      </c>
    </row>
    <row r="6588">
      <c r="A6588">
        <f>MOD(6588-1,101)</f>
        <v>22</v>
      </c>
    </row>
    <row r="6589">
      <c r="A6589">
        <f>MOD(6589-1,101)</f>
        <v>23</v>
      </c>
    </row>
    <row r="6590">
      <c r="A6590">
        <f>MOD(6590-1,101)</f>
        <v>24</v>
      </c>
    </row>
    <row r="6591">
      <c r="A6591">
        <f>MOD(6591-1,101)</f>
        <v>25</v>
      </c>
    </row>
    <row r="6592">
      <c r="A6592">
        <f>MOD(6592-1,101)</f>
        <v>26</v>
      </c>
    </row>
    <row r="6593">
      <c r="A6593">
        <f>MOD(6593-1,101)</f>
        <v>27</v>
      </c>
    </row>
    <row r="6594">
      <c r="A6594">
        <f>MOD(6594-1,101)</f>
        <v>28</v>
      </c>
    </row>
    <row r="6595">
      <c r="A6595">
        <f>MOD(6595-1,101)</f>
        <v>29</v>
      </c>
    </row>
    <row r="6596">
      <c r="A6596">
        <f>MOD(6596-1,101)</f>
        <v>30</v>
      </c>
    </row>
    <row r="6597">
      <c r="A6597">
        <f>MOD(6597-1,101)</f>
        <v>31</v>
      </c>
    </row>
    <row r="6598">
      <c r="A6598">
        <f>MOD(6598-1,101)</f>
        <v>32</v>
      </c>
    </row>
    <row r="6599">
      <c r="A6599">
        <f>MOD(6599-1,101)</f>
        <v>33</v>
      </c>
    </row>
    <row r="6600">
      <c r="A6600">
        <f>MOD(6600-1,101)</f>
        <v>34</v>
      </c>
    </row>
    <row r="6601">
      <c r="A6601">
        <f>MOD(6601-1,101)</f>
        <v>35</v>
      </c>
    </row>
    <row r="6602">
      <c r="A6602">
        <f>MOD(6602-1,101)</f>
        <v>36</v>
      </c>
    </row>
    <row r="6603">
      <c r="A6603">
        <f>MOD(6603-1,101)</f>
        <v>37</v>
      </c>
    </row>
    <row r="6604">
      <c r="A6604">
        <f>MOD(6604-1,101)</f>
        <v>38</v>
      </c>
    </row>
    <row r="6605">
      <c r="A6605">
        <f>MOD(6605-1,101)</f>
        <v>39</v>
      </c>
    </row>
    <row r="6606">
      <c r="A6606">
        <f>MOD(6606-1,101)</f>
        <v>40</v>
      </c>
    </row>
    <row r="6607">
      <c r="A6607">
        <f>MOD(6607-1,101)</f>
        <v>41</v>
      </c>
    </row>
    <row r="6608">
      <c r="A6608">
        <f>MOD(6608-1,101)</f>
        <v>42</v>
      </c>
    </row>
    <row r="6609">
      <c r="A6609">
        <f>MOD(6609-1,101)</f>
        <v>43</v>
      </c>
    </row>
    <row r="6610">
      <c r="A6610">
        <f>MOD(6610-1,101)</f>
        <v>44</v>
      </c>
    </row>
    <row r="6611">
      <c r="A6611">
        <f>MOD(6611-1,101)</f>
        <v>45</v>
      </c>
    </row>
    <row r="6612">
      <c r="A6612">
        <f>MOD(6612-1,101)</f>
        <v>46</v>
      </c>
    </row>
    <row r="6613">
      <c r="A6613">
        <f>MOD(6613-1,101)</f>
        <v>47</v>
      </c>
    </row>
    <row r="6614">
      <c r="A6614">
        <f>MOD(6614-1,101)</f>
        <v>48</v>
      </c>
    </row>
    <row r="6615">
      <c r="A6615">
        <f>MOD(6615-1,101)</f>
        <v>49</v>
      </c>
    </row>
    <row r="6616">
      <c r="A6616">
        <f>MOD(6616-1,101)</f>
        <v>50</v>
      </c>
    </row>
    <row r="6617">
      <c r="A6617">
        <f>MOD(6617-1,101)</f>
        <v>51</v>
      </c>
    </row>
    <row r="6618">
      <c r="A6618">
        <f>MOD(6618-1,101)</f>
        <v>52</v>
      </c>
    </row>
    <row r="6619">
      <c r="A6619">
        <f>MOD(6619-1,101)</f>
        <v>53</v>
      </c>
    </row>
    <row r="6620">
      <c r="A6620">
        <f>MOD(6620-1,101)</f>
        <v>54</v>
      </c>
    </row>
    <row r="6621">
      <c r="A6621">
        <f>MOD(6621-1,101)</f>
        <v>55</v>
      </c>
    </row>
    <row r="6622">
      <c r="A6622">
        <f>MOD(6622-1,101)</f>
        <v>56</v>
      </c>
    </row>
    <row r="6623">
      <c r="A6623">
        <f>MOD(6623-1,101)</f>
        <v>57</v>
      </c>
    </row>
    <row r="6624">
      <c r="A6624">
        <f>MOD(6624-1,101)</f>
        <v>58</v>
      </c>
    </row>
    <row r="6625">
      <c r="A6625">
        <f>MOD(6625-1,101)</f>
        <v>59</v>
      </c>
    </row>
    <row r="6626">
      <c r="A6626">
        <f>MOD(6626-1,101)</f>
        <v>60</v>
      </c>
    </row>
    <row r="6627">
      <c r="A6627">
        <f>MOD(6627-1,101)</f>
        <v>61</v>
      </c>
    </row>
    <row r="6628">
      <c r="A6628">
        <f>MOD(6628-1,101)</f>
        <v>62</v>
      </c>
    </row>
    <row r="6629">
      <c r="A6629">
        <f>MOD(6629-1,101)</f>
        <v>63</v>
      </c>
    </row>
    <row r="6630">
      <c r="A6630">
        <f>MOD(6630-1,101)</f>
        <v>64</v>
      </c>
    </row>
    <row r="6631">
      <c r="A6631">
        <f>MOD(6631-1,101)</f>
        <v>65</v>
      </c>
    </row>
    <row r="6632">
      <c r="A6632">
        <f>MOD(6632-1,101)</f>
        <v>66</v>
      </c>
    </row>
    <row r="6633">
      <c r="A6633">
        <f>MOD(6633-1,101)</f>
        <v>67</v>
      </c>
    </row>
    <row r="6634">
      <c r="A6634">
        <f>MOD(6634-1,101)</f>
        <v>68</v>
      </c>
    </row>
    <row r="6635">
      <c r="A6635">
        <f>MOD(6635-1,101)</f>
        <v>69</v>
      </c>
    </row>
    <row r="6636">
      <c r="A6636">
        <f>MOD(6636-1,101)</f>
        <v>70</v>
      </c>
    </row>
    <row r="6637">
      <c r="A6637">
        <f>MOD(6637-1,101)</f>
        <v>71</v>
      </c>
    </row>
    <row r="6638">
      <c r="A6638">
        <f>MOD(6638-1,101)</f>
        <v>72</v>
      </c>
    </row>
    <row r="6639">
      <c r="A6639">
        <f>MOD(6639-1,101)</f>
        <v>73</v>
      </c>
    </row>
    <row r="6640">
      <c r="A6640">
        <f>MOD(6640-1,101)</f>
        <v>74</v>
      </c>
    </row>
    <row r="6641">
      <c r="A6641">
        <f>MOD(6641-1,101)</f>
        <v>75</v>
      </c>
    </row>
    <row r="6642">
      <c r="A6642">
        <f>MOD(6642-1,101)</f>
        <v>76</v>
      </c>
    </row>
    <row r="6643">
      <c r="A6643">
        <f>MOD(6643-1,101)</f>
        <v>77</v>
      </c>
    </row>
    <row r="6644">
      <c r="A6644">
        <f>MOD(6644-1,101)</f>
        <v>78</v>
      </c>
    </row>
    <row r="6645">
      <c r="A6645">
        <f>MOD(6645-1,101)</f>
        <v>79</v>
      </c>
    </row>
    <row r="6646">
      <c r="A6646">
        <f>MOD(6646-1,101)</f>
        <v>80</v>
      </c>
    </row>
    <row r="6647">
      <c r="A6647">
        <f>MOD(6647-1,101)</f>
        <v>81</v>
      </c>
    </row>
    <row r="6648">
      <c r="A6648">
        <f>MOD(6648-1,101)</f>
        <v>82</v>
      </c>
    </row>
    <row r="6649">
      <c r="A6649">
        <f>MOD(6649-1,101)</f>
        <v>83</v>
      </c>
    </row>
    <row r="6650">
      <c r="A6650">
        <f>MOD(6650-1,101)</f>
        <v>84</v>
      </c>
    </row>
    <row r="6651">
      <c r="A6651">
        <f>MOD(6651-1,101)</f>
        <v>85</v>
      </c>
    </row>
    <row r="6652">
      <c r="A6652">
        <f>MOD(6652-1,101)</f>
        <v>86</v>
      </c>
    </row>
    <row r="6653">
      <c r="A6653">
        <f>MOD(6653-1,101)</f>
        <v>87</v>
      </c>
    </row>
    <row r="6654">
      <c r="A6654">
        <f>MOD(6654-1,101)</f>
        <v>88</v>
      </c>
    </row>
    <row r="6655">
      <c r="A6655">
        <f>MOD(6655-1,101)</f>
        <v>89</v>
      </c>
    </row>
    <row r="6656">
      <c r="A6656">
        <f>MOD(6656-1,101)</f>
        <v>90</v>
      </c>
    </row>
    <row r="6657">
      <c r="A6657">
        <f>MOD(6657-1,101)</f>
        <v>91</v>
      </c>
    </row>
    <row r="6658">
      <c r="A6658">
        <f>MOD(6658-1,101)</f>
        <v>92</v>
      </c>
    </row>
    <row r="6659">
      <c r="A6659">
        <f>MOD(6659-1,101)</f>
        <v>93</v>
      </c>
    </row>
    <row r="6660">
      <c r="A6660">
        <f>MOD(6660-1,101)</f>
        <v>94</v>
      </c>
    </row>
    <row r="6661">
      <c r="A6661">
        <f>MOD(6661-1,101)</f>
        <v>95</v>
      </c>
    </row>
    <row r="6662">
      <c r="A6662">
        <f>MOD(6662-1,101)</f>
        <v>96</v>
      </c>
    </row>
    <row r="6663">
      <c r="A6663">
        <f>MOD(6663-1,101)</f>
        <v>97</v>
      </c>
    </row>
    <row r="6664">
      <c r="A6664">
        <f>MOD(6664-1,101)</f>
        <v>98</v>
      </c>
    </row>
    <row r="6665">
      <c r="A6665">
        <f>MOD(6665-1,101)</f>
        <v>99</v>
      </c>
    </row>
    <row r="6666">
      <c r="A6666">
        <f>MOD(6666-1,101)</f>
        <v>100</v>
      </c>
    </row>
    <row r="6667">
      <c r="A6667">
        <f>MOD(6667-1,101)</f>
        <v>0</v>
      </c>
    </row>
    <row r="6668">
      <c r="A6668">
        <f>MOD(6668-1,101)</f>
        <v>1</v>
      </c>
    </row>
    <row r="6669">
      <c r="A6669">
        <f>MOD(6669-1,101)</f>
        <v>2</v>
      </c>
    </row>
    <row r="6670">
      <c r="A6670">
        <f>MOD(6670-1,101)</f>
        <v>3</v>
      </c>
    </row>
    <row r="6671">
      <c r="A6671">
        <f>MOD(6671-1,101)</f>
        <v>4</v>
      </c>
    </row>
    <row r="6672">
      <c r="A6672">
        <f>MOD(6672-1,101)</f>
        <v>5</v>
      </c>
    </row>
    <row r="6673">
      <c r="A6673">
        <f>MOD(6673-1,101)</f>
        <v>6</v>
      </c>
    </row>
    <row r="6674">
      <c r="A6674">
        <f>MOD(6674-1,101)</f>
        <v>7</v>
      </c>
    </row>
    <row r="6675">
      <c r="A6675">
        <f>MOD(6675-1,101)</f>
        <v>8</v>
      </c>
    </row>
    <row r="6676">
      <c r="A6676">
        <f>MOD(6676-1,101)</f>
        <v>9</v>
      </c>
    </row>
    <row r="6677">
      <c r="A6677">
        <f>MOD(6677-1,101)</f>
        <v>10</v>
      </c>
    </row>
    <row r="6678">
      <c r="A6678">
        <f>MOD(6678-1,101)</f>
        <v>11</v>
      </c>
    </row>
    <row r="6679">
      <c r="A6679">
        <f>MOD(6679-1,101)</f>
        <v>12</v>
      </c>
    </row>
    <row r="6680">
      <c r="A6680">
        <f>MOD(6680-1,101)</f>
        <v>13</v>
      </c>
    </row>
    <row r="6681">
      <c r="A6681">
        <f>MOD(6681-1,101)</f>
        <v>14</v>
      </c>
    </row>
    <row r="6682">
      <c r="A6682">
        <f>MOD(6682-1,101)</f>
        <v>15</v>
      </c>
    </row>
    <row r="6683">
      <c r="A6683">
        <f>MOD(6683-1,101)</f>
        <v>16</v>
      </c>
    </row>
    <row r="6684">
      <c r="A6684">
        <f>MOD(6684-1,101)</f>
        <v>17</v>
      </c>
    </row>
    <row r="6685">
      <c r="A6685">
        <f>MOD(6685-1,101)</f>
        <v>18</v>
      </c>
    </row>
    <row r="6686">
      <c r="A6686">
        <f>MOD(6686-1,101)</f>
        <v>19</v>
      </c>
    </row>
    <row r="6687">
      <c r="A6687">
        <f>MOD(6687-1,101)</f>
        <v>20</v>
      </c>
    </row>
    <row r="6688">
      <c r="A6688">
        <f>MOD(6688-1,101)</f>
        <v>21</v>
      </c>
    </row>
    <row r="6689">
      <c r="A6689">
        <f>MOD(6689-1,101)</f>
        <v>22</v>
      </c>
    </row>
    <row r="6690">
      <c r="A6690">
        <f>MOD(6690-1,101)</f>
        <v>23</v>
      </c>
    </row>
    <row r="6691">
      <c r="A6691">
        <f>MOD(6691-1,101)</f>
        <v>24</v>
      </c>
    </row>
    <row r="6692">
      <c r="A6692">
        <f>MOD(6692-1,101)</f>
        <v>25</v>
      </c>
    </row>
    <row r="6693">
      <c r="A6693">
        <f>MOD(6693-1,101)</f>
        <v>26</v>
      </c>
    </row>
    <row r="6694">
      <c r="A6694">
        <f>MOD(6694-1,101)</f>
        <v>27</v>
      </c>
    </row>
    <row r="6695">
      <c r="A6695">
        <f>MOD(6695-1,101)</f>
        <v>28</v>
      </c>
    </row>
    <row r="6696">
      <c r="A6696">
        <f>MOD(6696-1,101)</f>
        <v>29</v>
      </c>
    </row>
    <row r="6697">
      <c r="A6697">
        <f>MOD(6697-1,101)</f>
        <v>30</v>
      </c>
    </row>
    <row r="6698">
      <c r="A6698">
        <f>MOD(6698-1,101)</f>
        <v>31</v>
      </c>
    </row>
    <row r="6699">
      <c r="A6699">
        <f>MOD(6699-1,101)</f>
        <v>32</v>
      </c>
    </row>
    <row r="6700">
      <c r="A6700">
        <f>MOD(6700-1,101)</f>
        <v>33</v>
      </c>
    </row>
    <row r="6701">
      <c r="A6701">
        <f>MOD(6701-1,101)</f>
        <v>34</v>
      </c>
    </row>
    <row r="6702">
      <c r="A6702">
        <f>MOD(6702-1,101)</f>
        <v>35</v>
      </c>
    </row>
    <row r="6703">
      <c r="A6703">
        <f>MOD(6703-1,101)</f>
        <v>36</v>
      </c>
    </row>
    <row r="6704">
      <c r="A6704">
        <f>MOD(6704-1,101)</f>
        <v>37</v>
      </c>
    </row>
    <row r="6705">
      <c r="A6705">
        <f>MOD(6705-1,101)</f>
        <v>38</v>
      </c>
    </row>
    <row r="6706">
      <c r="A6706">
        <f>MOD(6706-1,101)</f>
        <v>39</v>
      </c>
    </row>
    <row r="6707">
      <c r="A6707">
        <f>MOD(6707-1,101)</f>
        <v>40</v>
      </c>
    </row>
    <row r="6708">
      <c r="A6708">
        <f>MOD(6708-1,101)</f>
        <v>41</v>
      </c>
    </row>
    <row r="6709">
      <c r="A6709">
        <f>MOD(6709-1,101)</f>
        <v>42</v>
      </c>
    </row>
    <row r="6710">
      <c r="A6710">
        <f>MOD(6710-1,101)</f>
        <v>43</v>
      </c>
    </row>
    <row r="6711">
      <c r="A6711">
        <f>MOD(6711-1,101)</f>
        <v>44</v>
      </c>
    </row>
    <row r="6712">
      <c r="A6712">
        <f>MOD(6712-1,101)</f>
        <v>45</v>
      </c>
    </row>
    <row r="6713">
      <c r="A6713">
        <f>MOD(6713-1,101)</f>
        <v>46</v>
      </c>
    </row>
    <row r="6714">
      <c r="A6714">
        <f>MOD(6714-1,101)</f>
        <v>47</v>
      </c>
    </row>
    <row r="6715">
      <c r="A6715">
        <f>MOD(6715-1,101)</f>
        <v>48</v>
      </c>
    </row>
    <row r="6716">
      <c r="A6716">
        <f>MOD(6716-1,101)</f>
        <v>49</v>
      </c>
    </row>
    <row r="6717">
      <c r="A6717">
        <f>MOD(6717-1,101)</f>
        <v>50</v>
      </c>
    </row>
    <row r="6718">
      <c r="A6718">
        <f>MOD(6718-1,101)</f>
        <v>51</v>
      </c>
    </row>
    <row r="6719">
      <c r="A6719">
        <f>MOD(6719-1,101)</f>
        <v>52</v>
      </c>
    </row>
    <row r="6720">
      <c r="A6720">
        <f>MOD(6720-1,101)</f>
        <v>53</v>
      </c>
    </row>
    <row r="6721">
      <c r="A6721">
        <f>MOD(6721-1,101)</f>
        <v>54</v>
      </c>
    </row>
    <row r="6722">
      <c r="A6722">
        <f>MOD(6722-1,101)</f>
        <v>55</v>
      </c>
    </row>
    <row r="6723">
      <c r="A6723">
        <f>MOD(6723-1,101)</f>
        <v>56</v>
      </c>
    </row>
    <row r="6724">
      <c r="A6724">
        <f>MOD(6724-1,101)</f>
        <v>57</v>
      </c>
    </row>
    <row r="6725">
      <c r="A6725">
        <f>MOD(6725-1,101)</f>
        <v>58</v>
      </c>
    </row>
    <row r="6726">
      <c r="A6726">
        <f>MOD(6726-1,101)</f>
        <v>59</v>
      </c>
    </row>
    <row r="6727">
      <c r="A6727">
        <f>MOD(6727-1,101)</f>
        <v>60</v>
      </c>
    </row>
    <row r="6728">
      <c r="A6728">
        <f>MOD(6728-1,101)</f>
        <v>61</v>
      </c>
    </row>
    <row r="6729">
      <c r="A6729">
        <f>MOD(6729-1,101)</f>
        <v>62</v>
      </c>
    </row>
    <row r="6730">
      <c r="A6730">
        <f>MOD(6730-1,101)</f>
        <v>63</v>
      </c>
    </row>
    <row r="6731">
      <c r="A6731">
        <f>MOD(6731-1,101)</f>
        <v>64</v>
      </c>
    </row>
    <row r="6732">
      <c r="A6732">
        <f>MOD(6732-1,101)</f>
        <v>65</v>
      </c>
    </row>
    <row r="6733">
      <c r="A6733">
        <f>MOD(6733-1,101)</f>
        <v>66</v>
      </c>
    </row>
    <row r="6734">
      <c r="A6734">
        <f>MOD(6734-1,101)</f>
        <v>67</v>
      </c>
    </row>
    <row r="6735">
      <c r="A6735">
        <f>MOD(6735-1,101)</f>
        <v>68</v>
      </c>
    </row>
    <row r="6736">
      <c r="A6736">
        <f>MOD(6736-1,101)</f>
        <v>69</v>
      </c>
    </row>
    <row r="6737">
      <c r="A6737">
        <f>MOD(6737-1,101)</f>
        <v>70</v>
      </c>
    </row>
    <row r="6738">
      <c r="A6738">
        <f>MOD(6738-1,101)</f>
        <v>71</v>
      </c>
    </row>
    <row r="6739">
      <c r="A6739">
        <f>MOD(6739-1,101)</f>
        <v>72</v>
      </c>
    </row>
    <row r="6740">
      <c r="A6740">
        <f>MOD(6740-1,101)</f>
        <v>73</v>
      </c>
    </row>
    <row r="6741">
      <c r="A6741">
        <f>MOD(6741-1,101)</f>
        <v>74</v>
      </c>
    </row>
    <row r="6742">
      <c r="A6742">
        <f>MOD(6742-1,101)</f>
        <v>75</v>
      </c>
    </row>
    <row r="6743">
      <c r="A6743">
        <f>MOD(6743-1,101)</f>
        <v>76</v>
      </c>
    </row>
    <row r="6744">
      <c r="A6744">
        <f>MOD(6744-1,101)</f>
        <v>77</v>
      </c>
    </row>
    <row r="6745">
      <c r="A6745">
        <f>MOD(6745-1,101)</f>
        <v>78</v>
      </c>
    </row>
    <row r="6746">
      <c r="A6746">
        <f>MOD(6746-1,101)</f>
        <v>79</v>
      </c>
    </row>
    <row r="6747">
      <c r="A6747">
        <f>MOD(6747-1,101)</f>
        <v>80</v>
      </c>
    </row>
    <row r="6748">
      <c r="A6748">
        <f>MOD(6748-1,101)</f>
        <v>81</v>
      </c>
    </row>
    <row r="6749">
      <c r="A6749">
        <f>MOD(6749-1,101)</f>
        <v>82</v>
      </c>
    </row>
    <row r="6750">
      <c r="A6750">
        <f>MOD(6750-1,101)</f>
        <v>83</v>
      </c>
    </row>
    <row r="6751">
      <c r="A6751">
        <f>MOD(6751-1,101)</f>
        <v>84</v>
      </c>
    </row>
    <row r="6752">
      <c r="A6752">
        <f>MOD(6752-1,101)</f>
        <v>85</v>
      </c>
    </row>
    <row r="6753">
      <c r="A6753">
        <f>MOD(6753-1,101)</f>
        <v>86</v>
      </c>
    </row>
    <row r="6754">
      <c r="A6754">
        <f>MOD(6754-1,101)</f>
        <v>87</v>
      </c>
    </row>
    <row r="6755">
      <c r="A6755">
        <f>MOD(6755-1,101)</f>
        <v>88</v>
      </c>
    </row>
    <row r="6756">
      <c r="A6756">
        <f>MOD(6756-1,101)</f>
        <v>89</v>
      </c>
    </row>
    <row r="6757">
      <c r="A6757">
        <f>MOD(6757-1,101)</f>
        <v>90</v>
      </c>
    </row>
    <row r="6758">
      <c r="A6758">
        <f>MOD(6758-1,101)</f>
        <v>91</v>
      </c>
    </row>
    <row r="6759">
      <c r="A6759">
        <f>MOD(6759-1,101)</f>
        <v>92</v>
      </c>
    </row>
    <row r="6760">
      <c r="A6760">
        <f>MOD(6760-1,101)</f>
        <v>93</v>
      </c>
    </row>
    <row r="6761">
      <c r="A6761">
        <f>MOD(6761-1,101)</f>
        <v>94</v>
      </c>
    </row>
    <row r="6762">
      <c r="A6762">
        <f>MOD(6762-1,101)</f>
        <v>95</v>
      </c>
    </row>
    <row r="6763">
      <c r="A6763">
        <f>MOD(6763-1,101)</f>
        <v>96</v>
      </c>
    </row>
    <row r="6764">
      <c r="A6764">
        <f>MOD(6764-1,101)</f>
        <v>97</v>
      </c>
    </row>
    <row r="6765">
      <c r="A6765">
        <f>MOD(6765-1,101)</f>
        <v>98</v>
      </c>
    </row>
    <row r="6766">
      <c r="A6766">
        <f>MOD(6766-1,101)</f>
        <v>99</v>
      </c>
    </row>
    <row r="6767">
      <c r="A6767">
        <f>MOD(6767-1,101)</f>
        <v>100</v>
      </c>
    </row>
    <row r="6768">
      <c r="A6768">
        <f>MOD(6768-1,101)</f>
        <v>0</v>
      </c>
    </row>
    <row r="6769">
      <c r="A6769">
        <f>MOD(6769-1,101)</f>
        <v>1</v>
      </c>
    </row>
    <row r="6770">
      <c r="A6770">
        <f>MOD(6770-1,101)</f>
        <v>2</v>
      </c>
    </row>
    <row r="6771">
      <c r="A6771">
        <f>MOD(6771-1,101)</f>
        <v>3</v>
      </c>
    </row>
    <row r="6772">
      <c r="A6772">
        <f>MOD(6772-1,101)</f>
        <v>4</v>
      </c>
    </row>
    <row r="6773">
      <c r="A6773">
        <f>MOD(6773-1,101)</f>
        <v>5</v>
      </c>
    </row>
    <row r="6774">
      <c r="A6774">
        <f>MOD(6774-1,101)</f>
        <v>6</v>
      </c>
    </row>
    <row r="6775">
      <c r="A6775">
        <f>MOD(6775-1,101)</f>
        <v>7</v>
      </c>
    </row>
    <row r="6776">
      <c r="A6776">
        <f>MOD(6776-1,101)</f>
        <v>8</v>
      </c>
    </row>
    <row r="6777">
      <c r="A6777">
        <f>MOD(6777-1,101)</f>
        <v>9</v>
      </c>
    </row>
    <row r="6778">
      <c r="A6778">
        <f>MOD(6778-1,101)</f>
        <v>10</v>
      </c>
    </row>
    <row r="6779">
      <c r="A6779">
        <f>MOD(6779-1,101)</f>
        <v>11</v>
      </c>
    </row>
    <row r="6780">
      <c r="A6780">
        <f>MOD(6780-1,101)</f>
        <v>12</v>
      </c>
    </row>
    <row r="6781">
      <c r="A6781">
        <f>MOD(6781-1,101)</f>
        <v>13</v>
      </c>
    </row>
    <row r="6782">
      <c r="A6782">
        <f>MOD(6782-1,101)</f>
        <v>14</v>
      </c>
    </row>
    <row r="6783">
      <c r="A6783">
        <f>MOD(6783-1,101)</f>
        <v>15</v>
      </c>
    </row>
    <row r="6784">
      <c r="A6784">
        <f>MOD(6784-1,101)</f>
        <v>16</v>
      </c>
    </row>
    <row r="6785">
      <c r="A6785">
        <f>MOD(6785-1,101)</f>
        <v>17</v>
      </c>
    </row>
    <row r="6786">
      <c r="A6786">
        <f>MOD(6786-1,101)</f>
        <v>18</v>
      </c>
    </row>
    <row r="6787">
      <c r="A6787">
        <f>MOD(6787-1,101)</f>
        <v>19</v>
      </c>
    </row>
    <row r="6788">
      <c r="A6788">
        <f>MOD(6788-1,101)</f>
        <v>20</v>
      </c>
    </row>
    <row r="6789">
      <c r="A6789">
        <f>MOD(6789-1,101)</f>
        <v>21</v>
      </c>
    </row>
    <row r="6790">
      <c r="A6790">
        <f>MOD(6790-1,101)</f>
        <v>22</v>
      </c>
    </row>
    <row r="6791">
      <c r="A6791">
        <f>MOD(6791-1,101)</f>
        <v>23</v>
      </c>
    </row>
    <row r="6792">
      <c r="A6792">
        <f>MOD(6792-1,101)</f>
        <v>24</v>
      </c>
    </row>
    <row r="6793">
      <c r="A6793">
        <f>MOD(6793-1,101)</f>
        <v>25</v>
      </c>
    </row>
    <row r="6794">
      <c r="A6794">
        <f>MOD(6794-1,101)</f>
        <v>26</v>
      </c>
    </row>
    <row r="6795">
      <c r="A6795">
        <f>MOD(6795-1,101)</f>
        <v>27</v>
      </c>
    </row>
    <row r="6796">
      <c r="A6796">
        <f>MOD(6796-1,101)</f>
        <v>28</v>
      </c>
    </row>
    <row r="6797">
      <c r="A6797">
        <f>MOD(6797-1,101)</f>
        <v>29</v>
      </c>
    </row>
    <row r="6798">
      <c r="A6798">
        <f>MOD(6798-1,101)</f>
        <v>30</v>
      </c>
    </row>
    <row r="6799">
      <c r="A6799">
        <f>MOD(6799-1,101)</f>
        <v>31</v>
      </c>
    </row>
    <row r="6800">
      <c r="A6800">
        <f>MOD(6800-1,101)</f>
        <v>32</v>
      </c>
    </row>
    <row r="6801">
      <c r="A6801">
        <f>MOD(6801-1,101)</f>
        <v>33</v>
      </c>
    </row>
    <row r="6802">
      <c r="A6802">
        <f>MOD(6802-1,101)</f>
        <v>34</v>
      </c>
    </row>
    <row r="6803">
      <c r="A6803">
        <f>MOD(6803-1,101)</f>
        <v>35</v>
      </c>
    </row>
    <row r="6804">
      <c r="A6804">
        <f>MOD(6804-1,101)</f>
        <v>36</v>
      </c>
    </row>
    <row r="6805">
      <c r="A6805">
        <f>MOD(6805-1,101)</f>
        <v>37</v>
      </c>
    </row>
    <row r="6806">
      <c r="A6806">
        <f>MOD(6806-1,101)</f>
        <v>38</v>
      </c>
    </row>
    <row r="6807">
      <c r="A6807">
        <f>MOD(6807-1,101)</f>
        <v>39</v>
      </c>
    </row>
    <row r="6808">
      <c r="A6808">
        <f>MOD(6808-1,101)</f>
        <v>40</v>
      </c>
    </row>
    <row r="6809">
      <c r="A6809">
        <f>MOD(6809-1,101)</f>
        <v>41</v>
      </c>
    </row>
    <row r="6810">
      <c r="A6810">
        <f>MOD(6810-1,101)</f>
        <v>42</v>
      </c>
    </row>
    <row r="6811">
      <c r="A6811">
        <f>MOD(6811-1,101)</f>
        <v>43</v>
      </c>
    </row>
    <row r="6812">
      <c r="A6812">
        <f>MOD(6812-1,101)</f>
        <v>44</v>
      </c>
    </row>
    <row r="6813">
      <c r="A6813">
        <f>MOD(6813-1,101)</f>
        <v>45</v>
      </c>
    </row>
    <row r="6814">
      <c r="A6814">
        <f>MOD(6814-1,101)</f>
        <v>46</v>
      </c>
    </row>
    <row r="6815">
      <c r="A6815">
        <f>MOD(6815-1,101)</f>
        <v>47</v>
      </c>
    </row>
    <row r="6816">
      <c r="A6816">
        <f>MOD(6816-1,101)</f>
        <v>48</v>
      </c>
    </row>
    <row r="6817">
      <c r="A6817">
        <f>MOD(6817-1,101)</f>
        <v>49</v>
      </c>
    </row>
    <row r="6818">
      <c r="A6818">
        <f>MOD(6818-1,101)</f>
        <v>50</v>
      </c>
    </row>
    <row r="6819">
      <c r="A6819">
        <f>MOD(6819-1,101)</f>
        <v>51</v>
      </c>
    </row>
    <row r="6820">
      <c r="A6820">
        <f>MOD(6820-1,101)</f>
        <v>52</v>
      </c>
    </row>
    <row r="6821">
      <c r="A6821">
        <f>MOD(6821-1,101)</f>
        <v>53</v>
      </c>
    </row>
    <row r="6822">
      <c r="A6822">
        <f>MOD(6822-1,101)</f>
        <v>54</v>
      </c>
    </row>
    <row r="6823">
      <c r="A6823">
        <f>MOD(6823-1,101)</f>
        <v>55</v>
      </c>
    </row>
    <row r="6824">
      <c r="A6824">
        <f>MOD(6824-1,101)</f>
        <v>56</v>
      </c>
    </row>
    <row r="6825">
      <c r="A6825">
        <f>MOD(6825-1,101)</f>
        <v>57</v>
      </c>
    </row>
    <row r="6826">
      <c r="A6826">
        <f>MOD(6826-1,101)</f>
        <v>58</v>
      </c>
    </row>
    <row r="6827">
      <c r="A6827">
        <f>MOD(6827-1,101)</f>
        <v>59</v>
      </c>
    </row>
    <row r="6828">
      <c r="A6828">
        <f>MOD(6828-1,101)</f>
        <v>60</v>
      </c>
    </row>
    <row r="6829">
      <c r="A6829">
        <f>MOD(6829-1,101)</f>
        <v>61</v>
      </c>
    </row>
    <row r="6830">
      <c r="A6830">
        <f>MOD(6830-1,101)</f>
        <v>62</v>
      </c>
    </row>
    <row r="6831">
      <c r="A6831">
        <f>MOD(6831-1,101)</f>
        <v>63</v>
      </c>
    </row>
    <row r="6832">
      <c r="A6832">
        <f>MOD(6832-1,101)</f>
        <v>64</v>
      </c>
    </row>
    <row r="6833">
      <c r="A6833">
        <f>MOD(6833-1,101)</f>
        <v>65</v>
      </c>
    </row>
    <row r="6834">
      <c r="A6834">
        <f>MOD(6834-1,101)</f>
        <v>66</v>
      </c>
    </row>
    <row r="6835">
      <c r="A6835">
        <f>MOD(6835-1,101)</f>
        <v>67</v>
      </c>
    </row>
    <row r="6836">
      <c r="A6836">
        <f>MOD(6836-1,101)</f>
        <v>68</v>
      </c>
    </row>
    <row r="6837">
      <c r="A6837">
        <f>MOD(6837-1,101)</f>
        <v>69</v>
      </c>
    </row>
    <row r="6838">
      <c r="A6838">
        <f>MOD(6838-1,101)</f>
        <v>70</v>
      </c>
    </row>
    <row r="6839">
      <c r="A6839">
        <f>MOD(6839-1,101)</f>
        <v>71</v>
      </c>
    </row>
    <row r="6840">
      <c r="A6840">
        <f>MOD(6840-1,101)</f>
        <v>72</v>
      </c>
    </row>
    <row r="6841">
      <c r="A6841">
        <f>MOD(6841-1,101)</f>
        <v>73</v>
      </c>
    </row>
    <row r="6842">
      <c r="A6842">
        <f>MOD(6842-1,101)</f>
        <v>74</v>
      </c>
    </row>
    <row r="6843">
      <c r="A6843">
        <f>MOD(6843-1,101)</f>
        <v>75</v>
      </c>
    </row>
    <row r="6844">
      <c r="A6844">
        <f>MOD(6844-1,101)</f>
        <v>76</v>
      </c>
    </row>
    <row r="6845">
      <c r="A6845">
        <f>MOD(6845-1,101)</f>
        <v>77</v>
      </c>
    </row>
    <row r="6846">
      <c r="A6846">
        <f>MOD(6846-1,101)</f>
        <v>78</v>
      </c>
    </row>
    <row r="6847">
      <c r="A6847">
        <f>MOD(6847-1,101)</f>
        <v>79</v>
      </c>
    </row>
    <row r="6848">
      <c r="A6848">
        <f>MOD(6848-1,101)</f>
        <v>80</v>
      </c>
    </row>
    <row r="6849">
      <c r="A6849">
        <f>MOD(6849-1,101)</f>
        <v>81</v>
      </c>
    </row>
    <row r="6850">
      <c r="A6850">
        <f>MOD(6850-1,101)</f>
        <v>82</v>
      </c>
    </row>
    <row r="6851">
      <c r="A6851">
        <f>MOD(6851-1,101)</f>
        <v>83</v>
      </c>
    </row>
    <row r="6852">
      <c r="A6852">
        <f>MOD(6852-1,101)</f>
        <v>84</v>
      </c>
    </row>
    <row r="6853">
      <c r="A6853">
        <f>MOD(6853-1,101)</f>
        <v>85</v>
      </c>
    </row>
    <row r="6854">
      <c r="A6854">
        <f>MOD(6854-1,101)</f>
        <v>86</v>
      </c>
    </row>
    <row r="6855">
      <c r="A6855">
        <f>MOD(6855-1,101)</f>
        <v>87</v>
      </c>
    </row>
    <row r="6856">
      <c r="A6856">
        <f>MOD(6856-1,101)</f>
        <v>88</v>
      </c>
    </row>
    <row r="6857">
      <c r="A6857">
        <f>MOD(6857-1,101)</f>
        <v>89</v>
      </c>
    </row>
    <row r="6858">
      <c r="A6858">
        <f>MOD(6858-1,101)</f>
        <v>90</v>
      </c>
    </row>
    <row r="6859">
      <c r="A6859">
        <f>MOD(6859-1,101)</f>
        <v>91</v>
      </c>
    </row>
    <row r="6860">
      <c r="A6860">
        <f>MOD(6860-1,101)</f>
        <v>92</v>
      </c>
    </row>
    <row r="6861">
      <c r="A6861">
        <f>MOD(6861-1,101)</f>
        <v>93</v>
      </c>
    </row>
    <row r="6862">
      <c r="A6862">
        <f>MOD(6862-1,101)</f>
        <v>94</v>
      </c>
    </row>
    <row r="6863">
      <c r="A6863">
        <f>MOD(6863-1,101)</f>
        <v>95</v>
      </c>
    </row>
    <row r="6864">
      <c r="A6864">
        <f>MOD(6864-1,101)</f>
        <v>96</v>
      </c>
    </row>
    <row r="6865">
      <c r="A6865">
        <f>MOD(6865-1,101)</f>
        <v>97</v>
      </c>
    </row>
    <row r="6866">
      <c r="A6866">
        <f>MOD(6866-1,101)</f>
        <v>98</v>
      </c>
    </row>
    <row r="6867">
      <c r="A6867">
        <f>MOD(6867-1,101)</f>
        <v>99</v>
      </c>
    </row>
    <row r="6868">
      <c r="A6868">
        <f>MOD(6868-1,101)</f>
        <v>100</v>
      </c>
    </row>
    <row r="6869">
      <c r="A6869">
        <f>MOD(6869-1,101)</f>
        <v>0</v>
      </c>
    </row>
    <row r="6870">
      <c r="A6870">
        <f>MOD(6870-1,101)</f>
        <v>1</v>
      </c>
    </row>
    <row r="6871">
      <c r="A6871">
        <f>MOD(6871-1,101)</f>
        <v>2</v>
      </c>
    </row>
    <row r="6872">
      <c r="A6872">
        <f>MOD(6872-1,101)</f>
        <v>3</v>
      </c>
    </row>
    <row r="6873">
      <c r="A6873">
        <f>MOD(6873-1,101)</f>
        <v>4</v>
      </c>
    </row>
    <row r="6874">
      <c r="A6874">
        <f>MOD(6874-1,101)</f>
        <v>5</v>
      </c>
    </row>
    <row r="6875">
      <c r="A6875">
        <f>MOD(6875-1,101)</f>
        <v>6</v>
      </c>
    </row>
    <row r="6876">
      <c r="A6876">
        <f>MOD(6876-1,101)</f>
        <v>7</v>
      </c>
    </row>
    <row r="6877">
      <c r="A6877">
        <f>MOD(6877-1,101)</f>
        <v>8</v>
      </c>
    </row>
    <row r="6878">
      <c r="A6878">
        <f>MOD(6878-1,101)</f>
        <v>9</v>
      </c>
    </row>
    <row r="6879">
      <c r="A6879">
        <f>MOD(6879-1,101)</f>
        <v>10</v>
      </c>
    </row>
    <row r="6880">
      <c r="A6880">
        <f>MOD(6880-1,101)</f>
        <v>11</v>
      </c>
    </row>
    <row r="6881">
      <c r="A6881">
        <f>MOD(6881-1,101)</f>
        <v>12</v>
      </c>
    </row>
    <row r="6882">
      <c r="A6882">
        <f>MOD(6882-1,101)</f>
        <v>13</v>
      </c>
    </row>
    <row r="6883">
      <c r="A6883">
        <f>MOD(6883-1,101)</f>
        <v>14</v>
      </c>
    </row>
    <row r="6884">
      <c r="A6884">
        <f>MOD(6884-1,101)</f>
        <v>15</v>
      </c>
    </row>
    <row r="6885">
      <c r="A6885">
        <f>MOD(6885-1,101)</f>
        <v>16</v>
      </c>
    </row>
    <row r="6886">
      <c r="A6886">
        <f>MOD(6886-1,101)</f>
        <v>17</v>
      </c>
    </row>
    <row r="6887">
      <c r="A6887">
        <f>MOD(6887-1,101)</f>
        <v>18</v>
      </c>
    </row>
    <row r="6888">
      <c r="A6888">
        <f>MOD(6888-1,101)</f>
        <v>19</v>
      </c>
    </row>
    <row r="6889">
      <c r="A6889">
        <f>MOD(6889-1,101)</f>
        <v>20</v>
      </c>
    </row>
    <row r="6890">
      <c r="A6890">
        <f>MOD(6890-1,101)</f>
        <v>21</v>
      </c>
    </row>
    <row r="6891">
      <c r="A6891">
        <f>MOD(6891-1,101)</f>
        <v>22</v>
      </c>
    </row>
    <row r="6892">
      <c r="A6892">
        <f>MOD(6892-1,101)</f>
        <v>23</v>
      </c>
    </row>
    <row r="6893">
      <c r="A6893">
        <f>MOD(6893-1,101)</f>
        <v>24</v>
      </c>
    </row>
    <row r="6894">
      <c r="A6894">
        <f>MOD(6894-1,101)</f>
        <v>25</v>
      </c>
    </row>
    <row r="6895">
      <c r="A6895">
        <f>MOD(6895-1,101)</f>
        <v>26</v>
      </c>
    </row>
    <row r="6896">
      <c r="A6896">
        <f>MOD(6896-1,101)</f>
        <v>27</v>
      </c>
    </row>
    <row r="6897">
      <c r="A6897">
        <f>MOD(6897-1,101)</f>
        <v>28</v>
      </c>
    </row>
    <row r="6898">
      <c r="A6898">
        <f>MOD(6898-1,101)</f>
        <v>29</v>
      </c>
    </row>
    <row r="6899">
      <c r="A6899">
        <f>MOD(6899-1,101)</f>
        <v>30</v>
      </c>
    </row>
    <row r="6900">
      <c r="A6900">
        <f>MOD(6900-1,101)</f>
        <v>31</v>
      </c>
    </row>
    <row r="6901">
      <c r="A6901">
        <f>MOD(6901-1,101)</f>
        <v>32</v>
      </c>
    </row>
    <row r="6902">
      <c r="A6902">
        <f>MOD(6902-1,101)</f>
        <v>33</v>
      </c>
    </row>
    <row r="6903">
      <c r="A6903">
        <f>MOD(6903-1,101)</f>
        <v>34</v>
      </c>
    </row>
    <row r="6904">
      <c r="A6904">
        <f>MOD(6904-1,101)</f>
        <v>35</v>
      </c>
    </row>
    <row r="6905">
      <c r="A6905">
        <f>MOD(6905-1,101)</f>
        <v>36</v>
      </c>
    </row>
    <row r="6906">
      <c r="A6906">
        <f>MOD(6906-1,101)</f>
        <v>37</v>
      </c>
    </row>
    <row r="6907">
      <c r="A6907">
        <f>MOD(6907-1,101)</f>
        <v>38</v>
      </c>
    </row>
    <row r="6908">
      <c r="A6908">
        <f>MOD(6908-1,101)</f>
        <v>39</v>
      </c>
    </row>
    <row r="6909">
      <c r="A6909">
        <f>MOD(6909-1,101)</f>
        <v>40</v>
      </c>
    </row>
    <row r="6910">
      <c r="A6910">
        <f>MOD(6910-1,101)</f>
        <v>41</v>
      </c>
    </row>
    <row r="6911">
      <c r="A6911">
        <f>MOD(6911-1,101)</f>
        <v>42</v>
      </c>
    </row>
    <row r="6912">
      <c r="A6912">
        <f>MOD(6912-1,101)</f>
        <v>43</v>
      </c>
    </row>
    <row r="6913">
      <c r="A6913">
        <f>MOD(6913-1,101)</f>
        <v>44</v>
      </c>
    </row>
    <row r="6914">
      <c r="A6914">
        <f>MOD(6914-1,101)</f>
        <v>45</v>
      </c>
    </row>
    <row r="6915">
      <c r="A6915">
        <f>MOD(6915-1,101)</f>
        <v>46</v>
      </c>
    </row>
    <row r="6916">
      <c r="A6916">
        <f>MOD(6916-1,101)</f>
        <v>47</v>
      </c>
    </row>
    <row r="6917">
      <c r="A6917">
        <f>MOD(6917-1,101)</f>
        <v>48</v>
      </c>
    </row>
    <row r="6918">
      <c r="A6918">
        <f>MOD(6918-1,101)</f>
        <v>49</v>
      </c>
    </row>
    <row r="6919">
      <c r="A6919">
        <f>MOD(6919-1,101)</f>
        <v>50</v>
      </c>
    </row>
    <row r="6920">
      <c r="A6920">
        <f>MOD(6920-1,101)</f>
        <v>51</v>
      </c>
    </row>
    <row r="6921">
      <c r="A6921">
        <f>MOD(6921-1,101)</f>
        <v>52</v>
      </c>
    </row>
    <row r="6922">
      <c r="A6922">
        <f>MOD(6922-1,101)</f>
        <v>53</v>
      </c>
    </row>
    <row r="6923">
      <c r="A6923">
        <f>MOD(6923-1,101)</f>
        <v>54</v>
      </c>
    </row>
    <row r="6924">
      <c r="A6924">
        <f>MOD(6924-1,101)</f>
        <v>55</v>
      </c>
    </row>
    <row r="6925">
      <c r="A6925">
        <f>MOD(6925-1,101)</f>
        <v>56</v>
      </c>
    </row>
    <row r="6926">
      <c r="A6926">
        <f>MOD(6926-1,101)</f>
        <v>57</v>
      </c>
    </row>
    <row r="6927">
      <c r="A6927">
        <f>MOD(6927-1,101)</f>
        <v>58</v>
      </c>
    </row>
    <row r="6928">
      <c r="A6928">
        <f>MOD(6928-1,101)</f>
        <v>59</v>
      </c>
    </row>
    <row r="6929">
      <c r="A6929">
        <f>MOD(6929-1,101)</f>
        <v>60</v>
      </c>
    </row>
    <row r="6930">
      <c r="A6930">
        <f>MOD(6930-1,101)</f>
        <v>61</v>
      </c>
    </row>
    <row r="6931">
      <c r="A6931">
        <f>MOD(6931-1,101)</f>
        <v>62</v>
      </c>
    </row>
    <row r="6932">
      <c r="A6932">
        <f>MOD(6932-1,101)</f>
        <v>63</v>
      </c>
    </row>
    <row r="6933">
      <c r="A6933">
        <f>MOD(6933-1,101)</f>
        <v>64</v>
      </c>
    </row>
    <row r="6934">
      <c r="A6934">
        <f>MOD(6934-1,101)</f>
        <v>65</v>
      </c>
    </row>
    <row r="6935">
      <c r="A6935">
        <f>MOD(6935-1,101)</f>
        <v>66</v>
      </c>
    </row>
    <row r="6936">
      <c r="A6936">
        <f>MOD(6936-1,101)</f>
        <v>67</v>
      </c>
    </row>
    <row r="6937">
      <c r="A6937">
        <f>MOD(6937-1,101)</f>
        <v>68</v>
      </c>
    </row>
    <row r="6938">
      <c r="A6938">
        <f>MOD(6938-1,101)</f>
        <v>69</v>
      </c>
    </row>
    <row r="6939">
      <c r="A6939">
        <f>MOD(6939-1,101)</f>
        <v>70</v>
      </c>
    </row>
    <row r="6940">
      <c r="A6940">
        <f>MOD(6940-1,101)</f>
        <v>71</v>
      </c>
    </row>
    <row r="6941">
      <c r="A6941">
        <f>MOD(6941-1,101)</f>
        <v>72</v>
      </c>
    </row>
    <row r="6942">
      <c r="A6942">
        <f>MOD(6942-1,101)</f>
        <v>73</v>
      </c>
    </row>
    <row r="6943">
      <c r="A6943">
        <f>MOD(6943-1,101)</f>
        <v>74</v>
      </c>
    </row>
    <row r="6944">
      <c r="A6944">
        <f>MOD(6944-1,101)</f>
        <v>75</v>
      </c>
    </row>
    <row r="6945">
      <c r="A6945">
        <f>MOD(6945-1,101)</f>
        <v>76</v>
      </c>
    </row>
    <row r="6946">
      <c r="A6946">
        <f>MOD(6946-1,101)</f>
        <v>77</v>
      </c>
    </row>
    <row r="6947">
      <c r="A6947">
        <f>MOD(6947-1,101)</f>
        <v>78</v>
      </c>
    </row>
    <row r="6948">
      <c r="A6948">
        <f>MOD(6948-1,101)</f>
        <v>79</v>
      </c>
    </row>
    <row r="6949">
      <c r="A6949">
        <f>MOD(6949-1,101)</f>
        <v>80</v>
      </c>
    </row>
    <row r="6950">
      <c r="A6950">
        <f>MOD(6950-1,101)</f>
        <v>81</v>
      </c>
    </row>
    <row r="6951">
      <c r="A6951">
        <f>MOD(6951-1,101)</f>
        <v>82</v>
      </c>
    </row>
    <row r="6952">
      <c r="A6952">
        <f>MOD(6952-1,101)</f>
        <v>83</v>
      </c>
    </row>
    <row r="6953">
      <c r="A6953">
        <f>MOD(6953-1,101)</f>
        <v>84</v>
      </c>
    </row>
    <row r="6954">
      <c r="A6954">
        <f>MOD(6954-1,101)</f>
        <v>85</v>
      </c>
    </row>
    <row r="6955">
      <c r="A6955">
        <f>MOD(6955-1,101)</f>
        <v>86</v>
      </c>
    </row>
    <row r="6956">
      <c r="A6956">
        <f>MOD(6956-1,101)</f>
        <v>87</v>
      </c>
    </row>
    <row r="6957">
      <c r="A6957">
        <f>MOD(6957-1,101)</f>
        <v>88</v>
      </c>
    </row>
    <row r="6958">
      <c r="A6958">
        <f>MOD(6958-1,101)</f>
        <v>89</v>
      </c>
    </row>
    <row r="6959">
      <c r="A6959">
        <f>MOD(6959-1,101)</f>
        <v>90</v>
      </c>
    </row>
    <row r="6960">
      <c r="A6960">
        <f>MOD(6960-1,101)</f>
        <v>91</v>
      </c>
    </row>
    <row r="6961">
      <c r="A6961">
        <f>MOD(6961-1,101)</f>
        <v>92</v>
      </c>
    </row>
    <row r="6962">
      <c r="A6962">
        <f>MOD(6962-1,101)</f>
        <v>93</v>
      </c>
    </row>
    <row r="6963">
      <c r="A6963">
        <f>MOD(6963-1,101)</f>
        <v>94</v>
      </c>
    </row>
    <row r="6964">
      <c r="A6964">
        <f>MOD(6964-1,101)</f>
        <v>95</v>
      </c>
    </row>
    <row r="6965">
      <c r="A6965">
        <f>MOD(6965-1,101)</f>
        <v>96</v>
      </c>
    </row>
    <row r="6966">
      <c r="A6966">
        <f>MOD(6966-1,101)</f>
        <v>97</v>
      </c>
    </row>
    <row r="6967">
      <c r="A6967">
        <f>MOD(6967-1,101)</f>
        <v>98</v>
      </c>
    </row>
    <row r="6968">
      <c r="A6968">
        <f>MOD(6968-1,101)</f>
        <v>99</v>
      </c>
    </row>
    <row r="6969">
      <c r="A6969">
        <f>MOD(6969-1,101)</f>
        <v>100</v>
      </c>
    </row>
    <row r="6970">
      <c r="A6970">
        <f>MOD(6970-1,101)</f>
        <v>0</v>
      </c>
    </row>
    <row r="6971">
      <c r="A6971">
        <f>MOD(6971-1,101)</f>
        <v>1</v>
      </c>
    </row>
    <row r="6972">
      <c r="A6972">
        <f>MOD(6972-1,101)</f>
        <v>2</v>
      </c>
    </row>
    <row r="6973">
      <c r="A6973">
        <f>MOD(6973-1,101)</f>
        <v>3</v>
      </c>
    </row>
    <row r="6974">
      <c r="A6974">
        <f>MOD(6974-1,101)</f>
        <v>4</v>
      </c>
    </row>
    <row r="6975">
      <c r="A6975">
        <f>MOD(6975-1,101)</f>
        <v>5</v>
      </c>
    </row>
    <row r="6976">
      <c r="A6976">
        <f>MOD(6976-1,101)</f>
        <v>6</v>
      </c>
    </row>
    <row r="6977">
      <c r="A6977">
        <f>MOD(6977-1,101)</f>
        <v>7</v>
      </c>
    </row>
    <row r="6978">
      <c r="A6978">
        <f>MOD(6978-1,101)</f>
        <v>8</v>
      </c>
    </row>
    <row r="6979">
      <c r="A6979">
        <f>MOD(6979-1,101)</f>
        <v>9</v>
      </c>
    </row>
    <row r="6980">
      <c r="A6980">
        <f>MOD(6980-1,101)</f>
        <v>10</v>
      </c>
    </row>
    <row r="6981">
      <c r="A6981">
        <f>MOD(6981-1,101)</f>
        <v>11</v>
      </c>
    </row>
    <row r="6982">
      <c r="A6982">
        <f>MOD(6982-1,101)</f>
        <v>12</v>
      </c>
    </row>
    <row r="6983">
      <c r="A6983">
        <f>MOD(6983-1,101)</f>
        <v>13</v>
      </c>
    </row>
    <row r="6984">
      <c r="A6984">
        <f>MOD(6984-1,101)</f>
        <v>14</v>
      </c>
    </row>
    <row r="6985">
      <c r="A6985">
        <f>MOD(6985-1,101)</f>
        <v>15</v>
      </c>
    </row>
    <row r="6986">
      <c r="A6986">
        <f>MOD(6986-1,101)</f>
        <v>16</v>
      </c>
    </row>
    <row r="6987">
      <c r="A6987">
        <f>MOD(6987-1,101)</f>
        <v>17</v>
      </c>
    </row>
    <row r="6988">
      <c r="A6988">
        <f>MOD(6988-1,101)</f>
        <v>18</v>
      </c>
    </row>
    <row r="6989">
      <c r="A6989">
        <f>MOD(6989-1,101)</f>
        <v>19</v>
      </c>
    </row>
    <row r="6990">
      <c r="A6990">
        <f>MOD(6990-1,101)</f>
        <v>20</v>
      </c>
    </row>
    <row r="6991">
      <c r="A6991">
        <f>MOD(6991-1,101)</f>
        <v>21</v>
      </c>
    </row>
    <row r="6992">
      <c r="A6992">
        <f>MOD(6992-1,101)</f>
        <v>22</v>
      </c>
    </row>
    <row r="6993">
      <c r="A6993">
        <f>MOD(6993-1,101)</f>
        <v>23</v>
      </c>
    </row>
    <row r="6994">
      <c r="A6994">
        <f>MOD(6994-1,101)</f>
        <v>24</v>
      </c>
    </row>
    <row r="6995">
      <c r="A6995">
        <f>MOD(6995-1,101)</f>
        <v>25</v>
      </c>
    </row>
    <row r="6996">
      <c r="A6996">
        <f>MOD(6996-1,101)</f>
        <v>26</v>
      </c>
    </row>
    <row r="6997">
      <c r="A6997">
        <f>MOD(6997-1,101)</f>
        <v>27</v>
      </c>
    </row>
    <row r="6998">
      <c r="A6998">
        <f>MOD(6998-1,101)</f>
        <v>28</v>
      </c>
    </row>
    <row r="6999">
      <c r="A6999">
        <f>MOD(6999-1,101)</f>
        <v>29</v>
      </c>
    </row>
    <row r="7000">
      <c r="A7000">
        <f>MOD(7000-1,101)</f>
        <v>30</v>
      </c>
    </row>
    <row r="7001">
      <c r="A7001">
        <f>MOD(7001-1,101)</f>
        <v>31</v>
      </c>
    </row>
    <row r="7002">
      <c r="A7002">
        <f>MOD(7002-1,101)</f>
        <v>32</v>
      </c>
    </row>
    <row r="7003">
      <c r="A7003">
        <f>MOD(7003-1,101)</f>
        <v>33</v>
      </c>
    </row>
    <row r="7004">
      <c r="A7004">
        <f>MOD(7004-1,101)</f>
        <v>34</v>
      </c>
    </row>
    <row r="7005">
      <c r="A7005">
        <f>MOD(7005-1,101)</f>
        <v>35</v>
      </c>
    </row>
    <row r="7006">
      <c r="A7006">
        <f>MOD(7006-1,101)</f>
        <v>36</v>
      </c>
    </row>
    <row r="7007">
      <c r="A7007">
        <f>MOD(7007-1,101)</f>
        <v>37</v>
      </c>
    </row>
    <row r="7008">
      <c r="A7008">
        <f>MOD(7008-1,101)</f>
        <v>38</v>
      </c>
    </row>
    <row r="7009">
      <c r="A7009">
        <f>MOD(7009-1,101)</f>
        <v>39</v>
      </c>
    </row>
    <row r="7010">
      <c r="A7010">
        <f>MOD(7010-1,101)</f>
        <v>40</v>
      </c>
    </row>
    <row r="7011">
      <c r="A7011">
        <f>MOD(7011-1,101)</f>
        <v>41</v>
      </c>
    </row>
    <row r="7012">
      <c r="A7012">
        <f>MOD(7012-1,101)</f>
        <v>42</v>
      </c>
    </row>
    <row r="7013">
      <c r="A7013">
        <f>MOD(7013-1,101)</f>
        <v>43</v>
      </c>
    </row>
    <row r="7014">
      <c r="A7014">
        <f>MOD(7014-1,101)</f>
        <v>44</v>
      </c>
    </row>
    <row r="7015">
      <c r="A7015">
        <f>MOD(7015-1,101)</f>
        <v>45</v>
      </c>
    </row>
    <row r="7016">
      <c r="A7016">
        <f>MOD(7016-1,101)</f>
        <v>46</v>
      </c>
    </row>
    <row r="7017">
      <c r="A7017">
        <f>MOD(7017-1,101)</f>
        <v>47</v>
      </c>
    </row>
    <row r="7018">
      <c r="A7018">
        <f>MOD(7018-1,101)</f>
        <v>48</v>
      </c>
    </row>
    <row r="7019">
      <c r="A7019">
        <f>MOD(7019-1,101)</f>
        <v>49</v>
      </c>
    </row>
    <row r="7020">
      <c r="A7020">
        <f>MOD(7020-1,101)</f>
        <v>50</v>
      </c>
    </row>
    <row r="7021">
      <c r="A7021">
        <f>MOD(7021-1,101)</f>
        <v>51</v>
      </c>
    </row>
    <row r="7022">
      <c r="A7022">
        <f>MOD(7022-1,101)</f>
        <v>52</v>
      </c>
    </row>
    <row r="7023">
      <c r="A7023">
        <f>MOD(7023-1,101)</f>
        <v>53</v>
      </c>
    </row>
    <row r="7024">
      <c r="A7024">
        <f>MOD(7024-1,101)</f>
        <v>54</v>
      </c>
    </row>
    <row r="7025">
      <c r="A7025">
        <f>MOD(7025-1,101)</f>
        <v>55</v>
      </c>
    </row>
    <row r="7026">
      <c r="A7026">
        <f>MOD(7026-1,101)</f>
        <v>56</v>
      </c>
    </row>
    <row r="7027">
      <c r="A7027">
        <f>MOD(7027-1,101)</f>
        <v>57</v>
      </c>
    </row>
    <row r="7028">
      <c r="A7028">
        <f>MOD(7028-1,101)</f>
        <v>58</v>
      </c>
    </row>
    <row r="7029">
      <c r="A7029">
        <f>MOD(7029-1,101)</f>
        <v>59</v>
      </c>
    </row>
    <row r="7030">
      <c r="A7030">
        <f>MOD(7030-1,101)</f>
        <v>60</v>
      </c>
    </row>
    <row r="7031">
      <c r="A7031">
        <f>MOD(7031-1,101)</f>
        <v>61</v>
      </c>
    </row>
    <row r="7032">
      <c r="A7032">
        <f>MOD(7032-1,101)</f>
        <v>62</v>
      </c>
    </row>
    <row r="7033">
      <c r="A7033">
        <f>MOD(7033-1,101)</f>
        <v>63</v>
      </c>
    </row>
    <row r="7034">
      <c r="A7034">
        <f>MOD(7034-1,101)</f>
        <v>64</v>
      </c>
    </row>
    <row r="7035">
      <c r="A7035">
        <f>MOD(7035-1,101)</f>
        <v>65</v>
      </c>
    </row>
    <row r="7036">
      <c r="A7036">
        <f>MOD(7036-1,101)</f>
        <v>66</v>
      </c>
    </row>
    <row r="7037">
      <c r="A7037">
        <f>MOD(7037-1,101)</f>
        <v>67</v>
      </c>
    </row>
    <row r="7038">
      <c r="A7038">
        <f>MOD(7038-1,101)</f>
        <v>68</v>
      </c>
    </row>
    <row r="7039">
      <c r="A7039">
        <f>MOD(7039-1,101)</f>
        <v>69</v>
      </c>
    </row>
    <row r="7040">
      <c r="A7040">
        <f>MOD(7040-1,101)</f>
        <v>70</v>
      </c>
    </row>
    <row r="7041">
      <c r="A7041">
        <f>MOD(7041-1,101)</f>
        <v>71</v>
      </c>
    </row>
    <row r="7042">
      <c r="A7042">
        <f>MOD(7042-1,101)</f>
        <v>72</v>
      </c>
    </row>
    <row r="7043">
      <c r="A7043">
        <f>MOD(7043-1,101)</f>
        <v>73</v>
      </c>
    </row>
    <row r="7044">
      <c r="A7044">
        <f>MOD(7044-1,101)</f>
        <v>74</v>
      </c>
    </row>
    <row r="7045">
      <c r="A7045">
        <f>MOD(7045-1,101)</f>
        <v>75</v>
      </c>
    </row>
    <row r="7046">
      <c r="A7046">
        <f>MOD(7046-1,101)</f>
        <v>76</v>
      </c>
    </row>
    <row r="7047">
      <c r="A7047">
        <f>MOD(7047-1,101)</f>
        <v>77</v>
      </c>
    </row>
    <row r="7048">
      <c r="A7048">
        <f>MOD(7048-1,101)</f>
        <v>78</v>
      </c>
    </row>
    <row r="7049">
      <c r="A7049">
        <f>MOD(7049-1,101)</f>
        <v>79</v>
      </c>
    </row>
    <row r="7050">
      <c r="A7050">
        <f>MOD(7050-1,101)</f>
        <v>80</v>
      </c>
    </row>
    <row r="7051">
      <c r="A7051">
        <f>MOD(7051-1,101)</f>
        <v>81</v>
      </c>
    </row>
    <row r="7052">
      <c r="A7052">
        <f>MOD(7052-1,101)</f>
        <v>82</v>
      </c>
    </row>
    <row r="7053">
      <c r="A7053">
        <f>MOD(7053-1,101)</f>
        <v>83</v>
      </c>
    </row>
    <row r="7054">
      <c r="A7054">
        <f>MOD(7054-1,101)</f>
        <v>84</v>
      </c>
    </row>
    <row r="7055">
      <c r="A7055">
        <f>MOD(7055-1,101)</f>
        <v>85</v>
      </c>
    </row>
    <row r="7056">
      <c r="A7056">
        <f>MOD(7056-1,101)</f>
        <v>86</v>
      </c>
    </row>
    <row r="7057">
      <c r="A7057">
        <f>MOD(7057-1,101)</f>
        <v>87</v>
      </c>
    </row>
    <row r="7058">
      <c r="A7058">
        <f>MOD(7058-1,101)</f>
        <v>88</v>
      </c>
    </row>
    <row r="7059">
      <c r="A7059">
        <f>MOD(7059-1,101)</f>
        <v>89</v>
      </c>
    </row>
    <row r="7060">
      <c r="A7060">
        <f>MOD(7060-1,101)</f>
        <v>90</v>
      </c>
    </row>
    <row r="7061">
      <c r="A7061">
        <f>MOD(7061-1,101)</f>
        <v>91</v>
      </c>
    </row>
    <row r="7062">
      <c r="A7062">
        <f>MOD(7062-1,101)</f>
        <v>92</v>
      </c>
    </row>
    <row r="7063">
      <c r="A7063">
        <f>MOD(7063-1,101)</f>
        <v>93</v>
      </c>
    </row>
    <row r="7064">
      <c r="A7064">
        <f>MOD(7064-1,101)</f>
        <v>94</v>
      </c>
    </row>
    <row r="7065">
      <c r="A7065">
        <f>MOD(7065-1,101)</f>
        <v>95</v>
      </c>
    </row>
    <row r="7066">
      <c r="A7066">
        <f>MOD(7066-1,101)</f>
        <v>96</v>
      </c>
    </row>
    <row r="7067">
      <c r="A7067">
        <f>MOD(7067-1,101)</f>
        <v>97</v>
      </c>
    </row>
    <row r="7068">
      <c r="A7068">
        <f>MOD(7068-1,101)</f>
        <v>98</v>
      </c>
    </row>
    <row r="7069">
      <c r="A7069">
        <f>MOD(7069-1,101)</f>
        <v>99</v>
      </c>
    </row>
    <row r="7070">
      <c r="A7070">
        <f>MOD(7070-1,101)</f>
        <v>100</v>
      </c>
    </row>
    <row r="7071">
      <c r="A7071">
        <f>MOD(7071-1,101)</f>
        <v>0</v>
      </c>
    </row>
    <row r="7072">
      <c r="A7072">
        <f>MOD(7072-1,101)</f>
        <v>1</v>
      </c>
    </row>
    <row r="7073">
      <c r="A7073">
        <f>MOD(7073-1,101)</f>
        <v>2</v>
      </c>
    </row>
    <row r="7074">
      <c r="A7074">
        <f>MOD(7074-1,101)</f>
        <v>3</v>
      </c>
    </row>
    <row r="7075">
      <c r="A7075">
        <f>MOD(7075-1,101)</f>
        <v>4</v>
      </c>
    </row>
    <row r="7076">
      <c r="A7076">
        <f>MOD(7076-1,101)</f>
        <v>5</v>
      </c>
    </row>
    <row r="7077">
      <c r="A7077">
        <f>MOD(7077-1,101)</f>
        <v>6</v>
      </c>
    </row>
    <row r="7078">
      <c r="A7078">
        <f>MOD(7078-1,101)</f>
        <v>7</v>
      </c>
    </row>
    <row r="7079">
      <c r="A7079">
        <f>MOD(7079-1,101)</f>
        <v>8</v>
      </c>
    </row>
    <row r="7080">
      <c r="A7080">
        <f>MOD(7080-1,101)</f>
        <v>9</v>
      </c>
    </row>
    <row r="7081">
      <c r="A7081">
        <f>MOD(7081-1,101)</f>
        <v>10</v>
      </c>
    </row>
    <row r="7082">
      <c r="A7082">
        <f>MOD(7082-1,101)</f>
        <v>11</v>
      </c>
    </row>
    <row r="7083">
      <c r="A7083">
        <f>MOD(7083-1,101)</f>
        <v>12</v>
      </c>
    </row>
    <row r="7084">
      <c r="A7084">
        <f>MOD(7084-1,101)</f>
        <v>13</v>
      </c>
    </row>
    <row r="7085">
      <c r="A7085">
        <f>MOD(7085-1,101)</f>
        <v>14</v>
      </c>
    </row>
    <row r="7086">
      <c r="A7086">
        <f>MOD(7086-1,101)</f>
        <v>15</v>
      </c>
    </row>
    <row r="7087">
      <c r="A7087">
        <f>MOD(7087-1,101)</f>
        <v>16</v>
      </c>
    </row>
    <row r="7088">
      <c r="A7088">
        <f>MOD(7088-1,101)</f>
        <v>17</v>
      </c>
    </row>
    <row r="7089">
      <c r="A7089">
        <f>MOD(7089-1,101)</f>
        <v>18</v>
      </c>
    </row>
    <row r="7090">
      <c r="A7090">
        <f>MOD(7090-1,101)</f>
        <v>19</v>
      </c>
    </row>
    <row r="7091">
      <c r="A7091">
        <f>MOD(7091-1,101)</f>
        <v>20</v>
      </c>
    </row>
    <row r="7092">
      <c r="A7092">
        <f>MOD(7092-1,101)</f>
        <v>21</v>
      </c>
    </row>
    <row r="7093">
      <c r="A7093">
        <f>MOD(7093-1,101)</f>
        <v>22</v>
      </c>
    </row>
    <row r="7094">
      <c r="A7094">
        <f>MOD(7094-1,101)</f>
        <v>23</v>
      </c>
    </row>
    <row r="7095">
      <c r="A7095">
        <f>MOD(7095-1,101)</f>
        <v>24</v>
      </c>
    </row>
    <row r="7096">
      <c r="A7096">
        <f>MOD(7096-1,101)</f>
        <v>25</v>
      </c>
    </row>
    <row r="7097">
      <c r="A7097">
        <f>MOD(7097-1,101)</f>
        <v>26</v>
      </c>
    </row>
    <row r="7098">
      <c r="A7098">
        <f>MOD(7098-1,101)</f>
        <v>27</v>
      </c>
    </row>
    <row r="7099">
      <c r="A7099">
        <f>MOD(7099-1,101)</f>
        <v>28</v>
      </c>
    </row>
    <row r="7100">
      <c r="A7100">
        <f>MOD(7100-1,101)</f>
        <v>29</v>
      </c>
    </row>
    <row r="7101">
      <c r="A7101">
        <f>MOD(7101-1,101)</f>
        <v>30</v>
      </c>
    </row>
    <row r="7102">
      <c r="A7102">
        <f>MOD(7102-1,101)</f>
        <v>31</v>
      </c>
    </row>
    <row r="7103">
      <c r="A7103">
        <f>MOD(7103-1,101)</f>
        <v>32</v>
      </c>
    </row>
    <row r="7104">
      <c r="A7104">
        <f>MOD(7104-1,101)</f>
        <v>33</v>
      </c>
    </row>
    <row r="7105">
      <c r="A7105">
        <f>MOD(7105-1,101)</f>
        <v>34</v>
      </c>
    </row>
    <row r="7106">
      <c r="A7106">
        <f>MOD(7106-1,101)</f>
        <v>35</v>
      </c>
    </row>
    <row r="7107">
      <c r="A7107">
        <f>MOD(7107-1,101)</f>
        <v>36</v>
      </c>
    </row>
    <row r="7108">
      <c r="A7108">
        <f>MOD(7108-1,101)</f>
        <v>37</v>
      </c>
    </row>
    <row r="7109">
      <c r="A7109">
        <f>MOD(7109-1,101)</f>
        <v>38</v>
      </c>
    </row>
    <row r="7110">
      <c r="A7110">
        <f>MOD(7110-1,101)</f>
        <v>39</v>
      </c>
    </row>
    <row r="7111">
      <c r="A7111">
        <f>MOD(7111-1,101)</f>
        <v>40</v>
      </c>
    </row>
    <row r="7112">
      <c r="A7112">
        <f>MOD(7112-1,101)</f>
        <v>41</v>
      </c>
    </row>
    <row r="7113">
      <c r="A7113">
        <f>MOD(7113-1,101)</f>
        <v>42</v>
      </c>
    </row>
    <row r="7114">
      <c r="A7114">
        <f>MOD(7114-1,101)</f>
        <v>43</v>
      </c>
    </row>
    <row r="7115">
      <c r="A7115">
        <f>MOD(7115-1,101)</f>
        <v>44</v>
      </c>
    </row>
    <row r="7116">
      <c r="A7116">
        <f>MOD(7116-1,101)</f>
        <v>45</v>
      </c>
    </row>
    <row r="7117">
      <c r="A7117">
        <f>MOD(7117-1,101)</f>
        <v>46</v>
      </c>
    </row>
    <row r="7118">
      <c r="A7118">
        <f>MOD(7118-1,101)</f>
        <v>47</v>
      </c>
    </row>
    <row r="7119">
      <c r="A7119">
        <f>MOD(7119-1,101)</f>
        <v>48</v>
      </c>
    </row>
    <row r="7120">
      <c r="A7120">
        <f>MOD(7120-1,101)</f>
        <v>49</v>
      </c>
    </row>
    <row r="7121">
      <c r="A7121">
        <f>MOD(7121-1,101)</f>
        <v>50</v>
      </c>
    </row>
    <row r="7122">
      <c r="A7122">
        <f>MOD(7122-1,101)</f>
        <v>51</v>
      </c>
    </row>
    <row r="7123">
      <c r="A7123">
        <f>MOD(7123-1,101)</f>
        <v>52</v>
      </c>
    </row>
    <row r="7124">
      <c r="A7124">
        <f>MOD(7124-1,101)</f>
        <v>53</v>
      </c>
    </row>
    <row r="7125">
      <c r="A7125">
        <f>MOD(7125-1,101)</f>
        <v>54</v>
      </c>
    </row>
    <row r="7126">
      <c r="A7126">
        <f>MOD(7126-1,101)</f>
        <v>55</v>
      </c>
    </row>
    <row r="7127">
      <c r="A7127">
        <f>MOD(7127-1,101)</f>
        <v>56</v>
      </c>
    </row>
    <row r="7128">
      <c r="A7128">
        <f>MOD(7128-1,101)</f>
        <v>57</v>
      </c>
    </row>
    <row r="7129">
      <c r="A7129">
        <f>MOD(7129-1,101)</f>
        <v>58</v>
      </c>
    </row>
    <row r="7130">
      <c r="A7130">
        <f>MOD(7130-1,101)</f>
        <v>59</v>
      </c>
    </row>
    <row r="7131">
      <c r="A7131">
        <f>MOD(7131-1,101)</f>
        <v>60</v>
      </c>
    </row>
    <row r="7132">
      <c r="A7132">
        <f>MOD(7132-1,101)</f>
        <v>61</v>
      </c>
    </row>
    <row r="7133">
      <c r="A7133">
        <f>MOD(7133-1,101)</f>
        <v>62</v>
      </c>
    </row>
    <row r="7134">
      <c r="A7134">
        <f>MOD(7134-1,101)</f>
        <v>63</v>
      </c>
    </row>
    <row r="7135">
      <c r="A7135">
        <f>MOD(7135-1,101)</f>
        <v>64</v>
      </c>
    </row>
    <row r="7136">
      <c r="A7136">
        <f>MOD(7136-1,101)</f>
        <v>65</v>
      </c>
    </row>
    <row r="7137">
      <c r="A7137">
        <f>MOD(7137-1,101)</f>
        <v>66</v>
      </c>
    </row>
    <row r="7138">
      <c r="A7138">
        <f>MOD(7138-1,101)</f>
        <v>67</v>
      </c>
    </row>
    <row r="7139">
      <c r="A7139">
        <f>MOD(7139-1,101)</f>
        <v>68</v>
      </c>
    </row>
    <row r="7140">
      <c r="A7140">
        <f>MOD(7140-1,101)</f>
        <v>69</v>
      </c>
    </row>
    <row r="7141">
      <c r="A7141">
        <f>MOD(7141-1,101)</f>
        <v>70</v>
      </c>
    </row>
    <row r="7142">
      <c r="A7142">
        <f>MOD(7142-1,101)</f>
        <v>71</v>
      </c>
    </row>
    <row r="7143">
      <c r="A7143">
        <f>MOD(7143-1,101)</f>
        <v>72</v>
      </c>
    </row>
    <row r="7144">
      <c r="A7144">
        <f>MOD(7144-1,101)</f>
        <v>73</v>
      </c>
    </row>
    <row r="7145">
      <c r="A7145">
        <f>MOD(7145-1,101)</f>
        <v>74</v>
      </c>
    </row>
    <row r="7146">
      <c r="A7146">
        <f>MOD(7146-1,101)</f>
        <v>75</v>
      </c>
    </row>
    <row r="7147">
      <c r="A7147">
        <f>MOD(7147-1,101)</f>
        <v>76</v>
      </c>
    </row>
    <row r="7148">
      <c r="A7148">
        <f>MOD(7148-1,101)</f>
        <v>77</v>
      </c>
    </row>
    <row r="7149">
      <c r="A7149">
        <f>MOD(7149-1,101)</f>
        <v>78</v>
      </c>
    </row>
    <row r="7150">
      <c r="A7150">
        <f>MOD(7150-1,101)</f>
        <v>79</v>
      </c>
    </row>
    <row r="7151">
      <c r="A7151">
        <f>MOD(7151-1,101)</f>
        <v>80</v>
      </c>
    </row>
    <row r="7152">
      <c r="A7152">
        <f>MOD(7152-1,101)</f>
        <v>81</v>
      </c>
    </row>
    <row r="7153">
      <c r="A7153">
        <f>MOD(7153-1,101)</f>
        <v>82</v>
      </c>
    </row>
    <row r="7154">
      <c r="A7154">
        <f>MOD(7154-1,101)</f>
        <v>83</v>
      </c>
    </row>
    <row r="7155">
      <c r="A7155">
        <f>MOD(7155-1,101)</f>
        <v>84</v>
      </c>
    </row>
    <row r="7156">
      <c r="A7156">
        <f>MOD(7156-1,101)</f>
        <v>85</v>
      </c>
    </row>
    <row r="7157">
      <c r="A7157">
        <f>MOD(7157-1,101)</f>
        <v>86</v>
      </c>
    </row>
    <row r="7158">
      <c r="A7158">
        <f>MOD(7158-1,101)</f>
        <v>87</v>
      </c>
    </row>
    <row r="7159">
      <c r="A7159">
        <f>MOD(7159-1,101)</f>
        <v>88</v>
      </c>
    </row>
    <row r="7160">
      <c r="A7160">
        <f>MOD(7160-1,101)</f>
        <v>89</v>
      </c>
    </row>
    <row r="7161">
      <c r="A7161">
        <f>MOD(7161-1,101)</f>
        <v>90</v>
      </c>
    </row>
    <row r="7162">
      <c r="A7162">
        <f>MOD(7162-1,101)</f>
        <v>91</v>
      </c>
    </row>
    <row r="7163">
      <c r="A7163">
        <f>MOD(7163-1,101)</f>
        <v>92</v>
      </c>
    </row>
    <row r="7164">
      <c r="A7164">
        <f>MOD(7164-1,101)</f>
        <v>93</v>
      </c>
    </row>
    <row r="7165">
      <c r="A7165">
        <f>MOD(7165-1,101)</f>
        <v>94</v>
      </c>
    </row>
    <row r="7166">
      <c r="A7166">
        <f>MOD(7166-1,101)</f>
        <v>95</v>
      </c>
    </row>
    <row r="7167">
      <c r="A7167">
        <f>MOD(7167-1,101)</f>
        <v>96</v>
      </c>
    </row>
    <row r="7168">
      <c r="A7168">
        <f>MOD(7168-1,101)</f>
        <v>97</v>
      </c>
    </row>
    <row r="7169">
      <c r="A7169">
        <f>MOD(7169-1,101)</f>
        <v>98</v>
      </c>
    </row>
    <row r="7170">
      <c r="A7170">
        <f>MOD(7170-1,101)</f>
        <v>99</v>
      </c>
    </row>
    <row r="7171">
      <c r="A7171">
        <f>MOD(7171-1,101)</f>
        <v>100</v>
      </c>
    </row>
    <row r="7172">
      <c r="A7172">
        <f>MOD(7172-1,101)</f>
        <v>0</v>
      </c>
    </row>
    <row r="7173">
      <c r="A7173">
        <f>MOD(7173-1,101)</f>
        <v>1</v>
      </c>
    </row>
    <row r="7174">
      <c r="A7174">
        <f>MOD(7174-1,101)</f>
        <v>2</v>
      </c>
    </row>
    <row r="7175">
      <c r="A7175">
        <f>MOD(7175-1,101)</f>
        <v>3</v>
      </c>
    </row>
    <row r="7176">
      <c r="A7176">
        <f>MOD(7176-1,101)</f>
        <v>4</v>
      </c>
    </row>
    <row r="7177">
      <c r="A7177">
        <f>MOD(7177-1,101)</f>
        <v>5</v>
      </c>
    </row>
    <row r="7178">
      <c r="A7178">
        <f>MOD(7178-1,101)</f>
        <v>6</v>
      </c>
    </row>
    <row r="7179">
      <c r="A7179">
        <f>MOD(7179-1,101)</f>
        <v>7</v>
      </c>
    </row>
    <row r="7180">
      <c r="A7180">
        <f>MOD(7180-1,101)</f>
        <v>8</v>
      </c>
    </row>
    <row r="7181">
      <c r="A7181">
        <f>MOD(7181-1,101)</f>
        <v>9</v>
      </c>
    </row>
    <row r="7182">
      <c r="A7182">
        <f>MOD(7182-1,101)</f>
        <v>10</v>
      </c>
    </row>
    <row r="7183">
      <c r="A7183">
        <f>MOD(7183-1,101)</f>
        <v>11</v>
      </c>
    </row>
    <row r="7184">
      <c r="A7184">
        <f>MOD(7184-1,101)</f>
        <v>12</v>
      </c>
    </row>
    <row r="7185">
      <c r="A7185">
        <f>MOD(7185-1,101)</f>
        <v>13</v>
      </c>
    </row>
    <row r="7186">
      <c r="A7186">
        <f>MOD(7186-1,101)</f>
        <v>14</v>
      </c>
    </row>
    <row r="7187">
      <c r="A7187">
        <f>MOD(7187-1,101)</f>
        <v>15</v>
      </c>
    </row>
    <row r="7188">
      <c r="A7188">
        <f>MOD(7188-1,101)</f>
        <v>16</v>
      </c>
    </row>
    <row r="7189">
      <c r="A7189">
        <f>MOD(7189-1,101)</f>
        <v>17</v>
      </c>
    </row>
    <row r="7190">
      <c r="A7190">
        <f>MOD(7190-1,101)</f>
        <v>18</v>
      </c>
    </row>
    <row r="7191">
      <c r="A7191">
        <f>MOD(7191-1,101)</f>
        <v>19</v>
      </c>
    </row>
    <row r="7192">
      <c r="A7192">
        <f>MOD(7192-1,101)</f>
        <v>20</v>
      </c>
    </row>
    <row r="7193">
      <c r="A7193">
        <f>MOD(7193-1,101)</f>
        <v>21</v>
      </c>
    </row>
    <row r="7194">
      <c r="A7194">
        <f>MOD(7194-1,101)</f>
        <v>22</v>
      </c>
    </row>
    <row r="7195">
      <c r="A7195">
        <f>MOD(7195-1,101)</f>
        <v>23</v>
      </c>
    </row>
    <row r="7196">
      <c r="A7196">
        <f>MOD(7196-1,101)</f>
        <v>24</v>
      </c>
    </row>
    <row r="7197">
      <c r="A7197">
        <f>MOD(7197-1,101)</f>
        <v>25</v>
      </c>
    </row>
    <row r="7198">
      <c r="A7198">
        <f>MOD(7198-1,101)</f>
        <v>26</v>
      </c>
    </row>
    <row r="7199">
      <c r="A7199">
        <f>MOD(7199-1,101)</f>
        <v>27</v>
      </c>
    </row>
    <row r="7200">
      <c r="A7200">
        <f>MOD(7200-1,101)</f>
        <v>28</v>
      </c>
    </row>
    <row r="7201">
      <c r="A7201">
        <f>MOD(7201-1,101)</f>
        <v>29</v>
      </c>
    </row>
    <row r="7202">
      <c r="A7202">
        <f>MOD(7202-1,101)</f>
        <v>30</v>
      </c>
    </row>
    <row r="7203">
      <c r="A7203">
        <f>MOD(7203-1,101)</f>
        <v>31</v>
      </c>
    </row>
    <row r="7204">
      <c r="A7204">
        <f>MOD(7204-1,101)</f>
        <v>32</v>
      </c>
    </row>
    <row r="7205">
      <c r="A7205">
        <f>MOD(7205-1,101)</f>
        <v>33</v>
      </c>
    </row>
    <row r="7206">
      <c r="A7206">
        <f>MOD(7206-1,101)</f>
        <v>34</v>
      </c>
    </row>
    <row r="7207">
      <c r="A7207">
        <f>MOD(7207-1,101)</f>
        <v>35</v>
      </c>
    </row>
    <row r="7208">
      <c r="A7208">
        <f>MOD(7208-1,101)</f>
        <v>36</v>
      </c>
    </row>
    <row r="7209">
      <c r="A7209">
        <f>MOD(7209-1,101)</f>
        <v>37</v>
      </c>
    </row>
    <row r="7210">
      <c r="A7210">
        <f>MOD(7210-1,101)</f>
        <v>38</v>
      </c>
    </row>
    <row r="7211">
      <c r="A7211">
        <f>MOD(7211-1,101)</f>
        <v>39</v>
      </c>
    </row>
    <row r="7212">
      <c r="A7212">
        <f>MOD(7212-1,101)</f>
        <v>40</v>
      </c>
    </row>
    <row r="7213">
      <c r="A7213">
        <f>MOD(7213-1,101)</f>
        <v>41</v>
      </c>
    </row>
    <row r="7214">
      <c r="A7214">
        <f>MOD(7214-1,101)</f>
        <v>42</v>
      </c>
    </row>
    <row r="7215">
      <c r="A7215">
        <f>MOD(7215-1,101)</f>
        <v>43</v>
      </c>
    </row>
    <row r="7216">
      <c r="A7216">
        <f>MOD(7216-1,101)</f>
        <v>44</v>
      </c>
    </row>
    <row r="7217">
      <c r="A7217">
        <f>MOD(7217-1,101)</f>
        <v>45</v>
      </c>
    </row>
    <row r="7218">
      <c r="A7218">
        <f>MOD(7218-1,101)</f>
        <v>46</v>
      </c>
    </row>
    <row r="7219">
      <c r="A7219">
        <f>MOD(7219-1,101)</f>
        <v>47</v>
      </c>
    </row>
    <row r="7220">
      <c r="A7220">
        <f>MOD(7220-1,101)</f>
        <v>48</v>
      </c>
    </row>
    <row r="7221">
      <c r="A7221">
        <f>MOD(7221-1,101)</f>
        <v>49</v>
      </c>
    </row>
    <row r="7222">
      <c r="A7222">
        <f>MOD(7222-1,101)</f>
        <v>50</v>
      </c>
    </row>
    <row r="7223">
      <c r="A7223">
        <f>MOD(7223-1,101)</f>
        <v>51</v>
      </c>
    </row>
    <row r="7224">
      <c r="A7224">
        <f>MOD(7224-1,101)</f>
        <v>52</v>
      </c>
    </row>
    <row r="7225">
      <c r="A7225">
        <f>MOD(7225-1,101)</f>
        <v>53</v>
      </c>
    </row>
    <row r="7226">
      <c r="A7226">
        <f>MOD(7226-1,101)</f>
        <v>54</v>
      </c>
    </row>
    <row r="7227">
      <c r="A7227">
        <f>MOD(7227-1,101)</f>
        <v>55</v>
      </c>
    </row>
    <row r="7228">
      <c r="A7228">
        <f>MOD(7228-1,101)</f>
        <v>56</v>
      </c>
    </row>
    <row r="7229">
      <c r="A7229">
        <f>MOD(7229-1,101)</f>
        <v>57</v>
      </c>
    </row>
    <row r="7230">
      <c r="A7230">
        <f>MOD(7230-1,101)</f>
        <v>58</v>
      </c>
    </row>
    <row r="7231">
      <c r="A7231">
        <f>MOD(7231-1,101)</f>
        <v>59</v>
      </c>
    </row>
    <row r="7232">
      <c r="A7232">
        <f>MOD(7232-1,101)</f>
        <v>60</v>
      </c>
    </row>
    <row r="7233">
      <c r="A7233">
        <f>MOD(7233-1,101)</f>
        <v>61</v>
      </c>
    </row>
    <row r="7234">
      <c r="A7234">
        <f>MOD(7234-1,101)</f>
        <v>62</v>
      </c>
    </row>
    <row r="7235">
      <c r="A7235">
        <f>MOD(7235-1,101)</f>
        <v>63</v>
      </c>
    </row>
    <row r="7236">
      <c r="A7236">
        <f>MOD(7236-1,101)</f>
        <v>64</v>
      </c>
    </row>
    <row r="7237">
      <c r="A7237">
        <f>MOD(7237-1,101)</f>
        <v>65</v>
      </c>
    </row>
    <row r="7238">
      <c r="A7238">
        <f>MOD(7238-1,101)</f>
        <v>66</v>
      </c>
    </row>
    <row r="7239">
      <c r="A7239">
        <f>MOD(7239-1,101)</f>
        <v>67</v>
      </c>
    </row>
    <row r="7240">
      <c r="A7240">
        <f>MOD(7240-1,101)</f>
        <v>68</v>
      </c>
    </row>
    <row r="7241">
      <c r="A7241">
        <f>MOD(7241-1,101)</f>
        <v>69</v>
      </c>
    </row>
    <row r="7242">
      <c r="A7242">
        <f>MOD(7242-1,101)</f>
        <v>70</v>
      </c>
    </row>
    <row r="7243">
      <c r="A7243">
        <f>MOD(7243-1,101)</f>
        <v>71</v>
      </c>
    </row>
    <row r="7244">
      <c r="A7244">
        <f>MOD(7244-1,101)</f>
        <v>72</v>
      </c>
    </row>
    <row r="7245">
      <c r="A7245">
        <f>MOD(7245-1,101)</f>
        <v>73</v>
      </c>
    </row>
    <row r="7246">
      <c r="A7246">
        <f>MOD(7246-1,101)</f>
        <v>74</v>
      </c>
    </row>
    <row r="7247">
      <c r="A7247">
        <f>MOD(7247-1,101)</f>
        <v>75</v>
      </c>
    </row>
    <row r="7248">
      <c r="A7248">
        <f>MOD(7248-1,101)</f>
        <v>76</v>
      </c>
    </row>
    <row r="7249">
      <c r="A7249">
        <f>MOD(7249-1,101)</f>
        <v>77</v>
      </c>
    </row>
    <row r="7250">
      <c r="A7250">
        <f>MOD(7250-1,101)</f>
        <v>78</v>
      </c>
    </row>
    <row r="7251">
      <c r="A7251">
        <f>MOD(7251-1,101)</f>
        <v>79</v>
      </c>
    </row>
    <row r="7252">
      <c r="A7252">
        <f>MOD(7252-1,101)</f>
        <v>80</v>
      </c>
    </row>
    <row r="7253">
      <c r="A7253">
        <f>MOD(7253-1,101)</f>
        <v>81</v>
      </c>
    </row>
    <row r="7254">
      <c r="A7254">
        <f>MOD(7254-1,101)</f>
        <v>82</v>
      </c>
    </row>
    <row r="7255">
      <c r="A7255">
        <f>MOD(7255-1,101)</f>
        <v>83</v>
      </c>
    </row>
    <row r="7256">
      <c r="A7256">
        <f>MOD(7256-1,101)</f>
        <v>84</v>
      </c>
    </row>
    <row r="7257">
      <c r="A7257">
        <f>MOD(7257-1,101)</f>
        <v>85</v>
      </c>
    </row>
    <row r="7258">
      <c r="A7258">
        <f>MOD(7258-1,101)</f>
        <v>86</v>
      </c>
    </row>
    <row r="7259">
      <c r="A7259">
        <f>MOD(7259-1,101)</f>
        <v>87</v>
      </c>
    </row>
    <row r="7260">
      <c r="A7260">
        <f>MOD(7260-1,101)</f>
        <v>88</v>
      </c>
    </row>
    <row r="7261">
      <c r="A7261">
        <f>MOD(7261-1,101)</f>
        <v>89</v>
      </c>
    </row>
    <row r="7262">
      <c r="A7262">
        <f>MOD(7262-1,101)</f>
        <v>90</v>
      </c>
    </row>
    <row r="7263">
      <c r="A7263">
        <f>MOD(7263-1,101)</f>
        <v>91</v>
      </c>
    </row>
    <row r="7264">
      <c r="A7264">
        <f>MOD(7264-1,101)</f>
        <v>92</v>
      </c>
    </row>
    <row r="7265">
      <c r="A7265">
        <f>MOD(7265-1,101)</f>
        <v>93</v>
      </c>
    </row>
    <row r="7266">
      <c r="A7266">
        <f>MOD(7266-1,101)</f>
        <v>94</v>
      </c>
    </row>
    <row r="7267">
      <c r="A7267">
        <f>MOD(7267-1,101)</f>
        <v>95</v>
      </c>
    </row>
    <row r="7268">
      <c r="A7268">
        <f>MOD(7268-1,101)</f>
        <v>96</v>
      </c>
    </row>
    <row r="7269">
      <c r="A7269">
        <f>MOD(7269-1,101)</f>
        <v>97</v>
      </c>
    </row>
    <row r="7270">
      <c r="A7270">
        <f>MOD(7270-1,101)</f>
        <v>98</v>
      </c>
    </row>
    <row r="7271">
      <c r="A7271">
        <f>MOD(7271-1,101)</f>
        <v>99</v>
      </c>
    </row>
    <row r="7272">
      <c r="A7272">
        <f>MOD(7272-1,101)</f>
        <v>100</v>
      </c>
    </row>
    <row r="7273">
      <c r="A7273">
        <f>MOD(7273-1,101)</f>
        <v>0</v>
      </c>
    </row>
    <row r="7274">
      <c r="A7274">
        <f>MOD(7274-1,101)</f>
        <v>1</v>
      </c>
    </row>
    <row r="7275">
      <c r="A7275">
        <f>MOD(7275-1,101)</f>
        <v>2</v>
      </c>
    </row>
    <row r="7276">
      <c r="A7276">
        <f>MOD(7276-1,101)</f>
        <v>3</v>
      </c>
    </row>
    <row r="7277">
      <c r="A7277">
        <f>MOD(7277-1,101)</f>
        <v>4</v>
      </c>
    </row>
    <row r="7278">
      <c r="A7278">
        <f>MOD(7278-1,101)</f>
        <v>5</v>
      </c>
    </row>
    <row r="7279">
      <c r="A7279">
        <f>MOD(7279-1,101)</f>
        <v>6</v>
      </c>
    </row>
    <row r="7280">
      <c r="A7280">
        <f>MOD(7280-1,101)</f>
        <v>7</v>
      </c>
    </row>
    <row r="7281">
      <c r="A7281">
        <f>MOD(7281-1,101)</f>
        <v>8</v>
      </c>
    </row>
    <row r="7282">
      <c r="A7282">
        <f>MOD(7282-1,101)</f>
        <v>9</v>
      </c>
    </row>
    <row r="7283">
      <c r="A7283">
        <f>MOD(7283-1,101)</f>
        <v>10</v>
      </c>
    </row>
    <row r="7284">
      <c r="A7284">
        <f>MOD(7284-1,101)</f>
        <v>11</v>
      </c>
    </row>
    <row r="7285">
      <c r="A7285">
        <f>MOD(7285-1,101)</f>
        <v>12</v>
      </c>
    </row>
    <row r="7286">
      <c r="A7286">
        <f>MOD(7286-1,101)</f>
        <v>13</v>
      </c>
    </row>
    <row r="7287">
      <c r="A7287">
        <f>MOD(7287-1,101)</f>
        <v>14</v>
      </c>
    </row>
    <row r="7288">
      <c r="A7288">
        <f>MOD(7288-1,101)</f>
        <v>15</v>
      </c>
    </row>
    <row r="7289">
      <c r="A7289">
        <f>MOD(7289-1,101)</f>
        <v>16</v>
      </c>
    </row>
    <row r="7290">
      <c r="A7290">
        <f>MOD(7290-1,101)</f>
        <v>17</v>
      </c>
    </row>
    <row r="7291">
      <c r="A7291">
        <f>MOD(7291-1,101)</f>
        <v>18</v>
      </c>
    </row>
    <row r="7292">
      <c r="A7292">
        <f>MOD(7292-1,101)</f>
        <v>19</v>
      </c>
    </row>
    <row r="7293">
      <c r="A7293">
        <f>MOD(7293-1,101)</f>
        <v>20</v>
      </c>
    </row>
    <row r="7294">
      <c r="A7294">
        <f>MOD(7294-1,101)</f>
        <v>21</v>
      </c>
    </row>
    <row r="7295">
      <c r="A7295">
        <f>MOD(7295-1,101)</f>
        <v>22</v>
      </c>
    </row>
    <row r="7296">
      <c r="A7296">
        <f>MOD(7296-1,101)</f>
        <v>23</v>
      </c>
    </row>
    <row r="7297">
      <c r="A7297">
        <f>MOD(7297-1,101)</f>
        <v>24</v>
      </c>
    </row>
    <row r="7298">
      <c r="A7298">
        <f>MOD(7298-1,101)</f>
        <v>25</v>
      </c>
    </row>
    <row r="7299">
      <c r="A7299">
        <f>MOD(7299-1,101)</f>
        <v>26</v>
      </c>
    </row>
    <row r="7300">
      <c r="A7300">
        <f>MOD(7300-1,101)</f>
        <v>27</v>
      </c>
    </row>
    <row r="7301">
      <c r="A7301">
        <f>MOD(7301-1,101)</f>
        <v>28</v>
      </c>
    </row>
    <row r="7302">
      <c r="A7302">
        <f>MOD(7302-1,101)</f>
        <v>29</v>
      </c>
    </row>
    <row r="7303">
      <c r="A7303">
        <f>MOD(7303-1,101)</f>
        <v>30</v>
      </c>
    </row>
    <row r="7304">
      <c r="A7304">
        <f>MOD(7304-1,101)</f>
        <v>31</v>
      </c>
    </row>
    <row r="7305">
      <c r="A7305">
        <f>MOD(7305-1,101)</f>
        <v>32</v>
      </c>
    </row>
    <row r="7306">
      <c r="A7306">
        <f>MOD(7306-1,101)</f>
        <v>33</v>
      </c>
    </row>
    <row r="7307">
      <c r="A7307">
        <f>MOD(7307-1,101)</f>
        <v>34</v>
      </c>
    </row>
    <row r="7308">
      <c r="A7308">
        <f>MOD(7308-1,101)</f>
        <v>35</v>
      </c>
    </row>
    <row r="7309">
      <c r="A7309">
        <f>MOD(7309-1,101)</f>
        <v>36</v>
      </c>
    </row>
    <row r="7310">
      <c r="A7310">
        <f>MOD(7310-1,101)</f>
        <v>37</v>
      </c>
    </row>
    <row r="7311">
      <c r="A7311">
        <f>MOD(7311-1,101)</f>
        <v>38</v>
      </c>
    </row>
    <row r="7312">
      <c r="A7312">
        <f>MOD(7312-1,101)</f>
        <v>39</v>
      </c>
    </row>
    <row r="7313">
      <c r="A7313">
        <f>MOD(7313-1,101)</f>
        <v>40</v>
      </c>
    </row>
    <row r="7314">
      <c r="A7314">
        <f>MOD(7314-1,101)</f>
        <v>41</v>
      </c>
    </row>
    <row r="7315">
      <c r="A7315">
        <f>MOD(7315-1,101)</f>
        <v>42</v>
      </c>
    </row>
    <row r="7316">
      <c r="A7316">
        <f>MOD(7316-1,101)</f>
        <v>43</v>
      </c>
    </row>
    <row r="7317">
      <c r="A7317">
        <f>MOD(7317-1,101)</f>
        <v>44</v>
      </c>
    </row>
    <row r="7318">
      <c r="A7318">
        <f>MOD(7318-1,101)</f>
        <v>45</v>
      </c>
    </row>
    <row r="7319">
      <c r="A7319">
        <f>MOD(7319-1,101)</f>
        <v>46</v>
      </c>
    </row>
    <row r="7320">
      <c r="A7320">
        <f>MOD(7320-1,101)</f>
        <v>47</v>
      </c>
    </row>
    <row r="7321">
      <c r="A7321">
        <f>MOD(7321-1,101)</f>
        <v>48</v>
      </c>
    </row>
    <row r="7322">
      <c r="A7322">
        <f>MOD(7322-1,101)</f>
        <v>49</v>
      </c>
    </row>
    <row r="7323">
      <c r="A7323">
        <f>MOD(7323-1,101)</f>
        <v>50</v>
      </c>
    </row>
    <row r="7324">
      <c r="A7324">
        <f>MOD(7324-1,101)</f>
        <v>51</v>
      </c>
    </row>
    <row r="7325">
      <c r="A7325">
        <f>MOD(7325-1,101)</f>
        <v>52</v>
      </c>
    </row>
    <row r="7326">
      <c r="A7326">
        <f>MOD(7326-1,101)</f>
        <v>53</v>
      </c>
    </row>
    <row r="7327">
      <c r="A7327">
        <f>MOD(7327-1,101)</f>
        <v>54</v>
      </c>
    </row>
    <row r="7328">
      <c r="A7328">
        <f>MOD(7328-1,101)</f>
        <v>55</v>
      </c>
    </row>
    <row r="7329">
      <c r="A7329">
        <f>MOD(7329-1,101)</f>
        <v>56</v>
      </c>
    </row>
    <row r="7330">
      <c r="A7330">
        <f>MOD(7330-1,101)</f>
        <v>57</v>
      </c>
    </row>
    <row r="7331">
      <c r="A7331">
        <f>MOD(7331-1,101)</f>
        <v>58</v>
      </c>
    </row>
    <row r="7332">
      <c r="A7332">
        <f>MOD(7332-1,101)</f>
        <v>59</v>
      </c>
    </row>
    <row r="7333">
      <c r="A7333">
        <f>MOD(7333-1,101)</f>
        <v>60</v>
      </c>
    </row>
    <row r="7334">
      <c r="A7334">
        <f>MOD(7334-1,101)</f>
        <v>61</v>
      </c>
    </row>
    <row r="7335">
      <c r="A7335">
        <f>MOD(7335-1,101)</f>
        <v>62</v>
      </c>
    </row>
    <row r="7336">
      <c r="A7336">
        <f>MOD(7336-1,101)</f>
        <v>63</v>
      </c>
    </row>
    <row r="7337">
      <c r="A7337">
        <f>MOD(7337-1,101)</f>
        <v>64</v>
      </c>
    </row>
    <row r="7338">
      <c r="A7338">
        <f>MOD(7338-1,101)</f>
        <v>65</v>
      </c>
    </row>
    <row r="7339">
      <c r="A7339">
        <f>MOD(7339-1,101)</f>
        <v>66</v>
      </c>
    </row>
    <row r="7340">
      <c r="A7340">
        <f>MOD(7340-1,101)</f>
        <v>67</v>
      </c>
    </row>
    <row r="7341">
      <c r="A7341">
        <f>MOD(7341-1,101)</f>
        <v>68</v>
      </c>
    </row>
    <row r="7342">
      <c r="A7342">
        <f>MOD(7342-1,101)</f>
        <v>69</v>
      </c>
    </row>
    <row r="7343">
      <c r="A7343">
        <f>MOD(7343-1,101)</f>
        <v>70</v>
      </c>
    </row>
    <row r="7344">
      <c r="A7344">
        <f>MOD(7344-1,101)</f>
        <v>71</v>
      </c>
    </row>
    <row r="7345">
      <c r="A7345">
        <f>MOD(7345-1,101)</f>
        <v>72</v>
      </c>
    </row>
    <row r="7346">
      <c r="A7346">
        <f>MOD(7346-1,101)</f>
        <v>73</v>
      </c>
    </row>
    <row r="7347">
      <c r="A7347">
        <f>MOD(7347-1,101)</f>
        <v>74</v>
      </c>
    </row>
    <row r="7348">
      <c r="A7348">
        <f>MOD(7348-1,101)</f>
        <v>75</v>
      </c>
    </row>
    <row r="7349">
      <c r="A7349">
        <f>MOD(7349-1,101)</f>
        <v>76</v>
      </c>
    </row>
    <row r="7350">
      <c r="A7350">
        <f>MOD(7350-1,101)</f>
        <v>77</v>
      </c>
    </row>
    <row r="7351">
      <c r="A7351">
        <f>MOD(7351-1,101)</f>
        <v>78</v>
      </c>
    </row>
    <row r="7352">
      <c r="A7352">
        <f>MOD(7352-1,101)</f>
        <v>79</v>
      </c>
    </row>
    <row r="7353">
      <c r="A7353">
        <f>MOD(7353-1,101)</f>
        <v>80</v>
      </c>
    </row>
    <row r="7354">
      <c r="A7354">
        <f>MOD(7354-1,101)</f>
        <v>81</v>
      </c>
    </row>
    <row r="7355">
      <c r="A7355">
        <f>MOD(7355-1,101)</f>
        <v>82</v>
      </c>
    </row>
    <row r="7356">
      <c r="A7356">
        <f>MOD(7356-1,101)</f>
        <v>83</v>
      </c>
    </row>
    <row r="7357">
      <c r="A7357">
        <f>MOD(7357-1,101)</f>
        <v>84</v>
      </c>
    </row>
    <row r="7358">
      <c r="A7358">
        <f>MOD(7358-1,101)</f>
        <v>85</v>
      </c>
    </row>
    <row r="7359">
      <c r="A7359">
        <f>MOD(7359-1,101)</f>
        <v>86</v>
      </c>
    </row>
    <row r="7360">
      <c r="A7360">
        <f>MOD(7360-1,101)</f>
        <v>87</v>
      </c>
    </row>
    <row r="7361">
      <c r="A7361">
        <f>MOD(7361-1,101)</f>
        <v>88</v>
      </c>
    </row>
    <row r="7362">
      <c r="A7362">
        <f>MOD(7362-1,101)</f>
        <v>89</v>
      </c>
    </row>
    <row r="7363">
      <c r="A7363">
        <f>MOD(7363-1,101)</f>
        <v>90</v>
      </c>
    </row>
    <row r="7364">
      <c r="A7364">
        <f>MOD(7364-1,101)</f>
        <v>91</v>
      </c>
    </row>
    <row r="7365">
      <c r="A7365">
        <f>MOD(7365-1,101)</f>
        <v>92</v>
      </c>
    </row>
    <row r="7366">
      <c r="A7366">
        <f>MOD(7366-1,101)</f>
        <v>93</v>
      </c>
    </row>
    <row r="7367">
      <c r="A7367">
        <f>MOD(7367-1,101)</f>
        <v>94</v>
      </c>
    </row>
    <row r="7368">
      <c r="A7368">
        <f>MOD(7368-1,101)</f>
        <v>95</v>
      </c>
    </row>
    <row r="7369">
      <c r="A7369">
        <f>MOD(7369-1,101)</f>
        <v>96</v>
      </c>
    </row>
    <row r="7370">
      <c r="A7370">
        <f>MOD(7370-1,101)</f>
        <v>97</v>
      </c>
    </row>
    <row r="7371">
      <c r="A7371">
        <f>MOD(7371-1,101)</f>
        <v>98</v>
      </c>
    </row>
    <row r="7372">
      <c r="A7372">
        <f>MOD(7372-1,101)</f>
        <v>99</v>
      </c>
    </row>
    <row r="7373">
      <c r="A7373">
        <f>MOD(7373-1,101)</f>
        <v>100</v>
      </c>
    </row>
    <row r="7374">
      <c r="A7374">
        <f>MOD(7374-1,101)</f>
        <v>0</v>
      </c>
    </row>
    <row r="7375">
      <c r="A7375">
        <f>MOD(7375-1,101)</f>
        <v>1</v>
      </c>
    </row>
    <row r="7376">
      <c r="A7376">
        <f>MOD(7376-1,101)</f>
        <v>2</v>
      </c>
    </row>
    <row r="7377">
      <c r="A7377">
        <f>MOD(7377-1,101)</f>
        <v>3</v>
      </c>
    </row>
    <row r="7378">
      <c r="A7378">
        <f>MOD(7378-1,101)</f>
        <v>4</v>
      </c>
    </row>
    <row r="7379">
      <c r="A7379">
        <f>MOD(7379-1,101)</f>
        <v>5</v>
      </c>
    </row>
    <row r="7380">
      <c r="A7380">
        <f>MOD(7380-1,101)</f>
        <v>6</v>
      </c>
    </row>
    <row r="7381">
      <c r="A7381">
        <f>MOD(7381-1,101)</f>
        <v>7</v>
      </c>
    </row>
    <row r="7382">
      <c r="A7382">
        <f>MOD(7382-1,101)</f>
        <v>8</v>
      </c>
    </row>
    <row r="7383">
      <c r="A7383">
        <f>MOD(7383-1,101)</f>
        <v>9</v>
      </c>
    </row>
    <row r="7384">
      <c r="A7384">
        <f>MOD(7384-1,101)</f>
        <v>10</v>
      </c>
    </row>
    <row r="7385">
      <c r="A7385">
        <f>MOD(7385-1,101)</f>
        <v>11</v>
      </c>
    </row>
    <row r="7386">
      <c r="A7386">
        <f>MOD(7386-1,101)</f>
        <v>12</v>
      </c>
    </row>
    <row r="7387">
      <c r="A7387">
        <f>MOD(7387-1,101)</f>
        <v>13</v>
      </c>
    </row>
    <row r="7388">
      <c r="A7388">
        <f>MOD(7388-1,101)</f>
        <v>14</v>
      </c>
    </row>
    <row r="7389">
      <c r="A7389">
        <f>MOD(7389-1,101)</f>
        <v>15</v>
      </c>
    </row>
    <row r="7390">
      <c r="A7390">
        <f>MOD(7390-1,101)</f>
        <v>16</v>
      </c>
    </row>
    <row r="7391">
      <c r="A7391">
        <f>MOD(7391-1,101)</f>
        <v>17</v>
      </c>
    </row>
    <row r="7392">
      <c r="A7392">
        <f>MOD(7392-1,101)</f>
        <v>18</v>
      </c>
    </row>
    <row r="7393">
      <c r="A7393">
        <f>MOD(7393-1,101)</f>
        <v>19</v>
      </c>
    </row>
    <row r="7394">
      <c r="A7394">
        <f>MOD(7394-1,101)</f>
        <v>20</v>
      </c>
    </row>
    <row r="7395">
      <c r="A7395">
        <f>MOD(7395-1,101)</f>
        <v>21</v>
      </c>
    </row>
    <row r="7396">
      <c r="A7396">
        <f>MOD(7396-1,101)</f>
        <v>22</v>
      </c>
    </row>
    <row r="7397">
      <c r="A7397">
        <f>MOD(7397-1,101)</f>
        <v>23</v>
      </c>
    </row>
    <row r="7398">
      <c r="A7398">
        <f>MOD(7398-1,101)</f>
        <v>24</v>
      </c>
    </row>
    <row r="7399">
      <c r="A7399">
        <f>MOD(7399-1,101)</f>
        <v>25</v>
      </c>
    </row>
    <row r="7400">
      <c r="A7400">
        <f>MOD(7400-1,101)</f>
        <v>26</v>
      </c>
    </row>
    <row r="7401">
      <c r="A7401">
        <f>MOD(7401-1,101)</f>
        <v>27</v>
      </c>
    </row>
    <row r="7402">
      <c r="A7402">
        <f>MOD(7402-1,101)</f>
        <v>28</v>
      </c>
    </row>
    <row r="7403">
      <c r="A7403">
        <f>MOD(7403-1,101)</f>
        <v>29</v>
      </c>
    </row>
    <row r="7404">
      <c r="A7404">
        <f>MOD(7404-1,101)</f>
        <v>30</v>
      </c>
    </row>
    <row r="7405">
      <c r="A7405">
        <f>MOD(7405-1,101)</f>
        <v>31</v>
      </c>
    </row>
    <row r="7406">
      <c r="A7406">
        <f>MOD(7406-1,101)</f>
        <v>32</v>
      </c>
    </row>
    <row r="7407">
      <c r="A7407">
        <f>MOD(7407-1,101)</f>
        <v>33</v>
      </c>
    </row>
    <row r="7408">
      <c r="A7408">
        <f>MOD(7408-1,101)</f>
        <v>34</v>
      </c>
    </row>
    <row r="7409">
      <c r="A7409">
        <f>MOD(7409-1,101)</f>
        <v>35</v>
      </c>
    </row>
    <row r="7410">
      <c r="A7410">
        <f>MOD(7410-1,101)</f>
        <v>36</v>
      </c>
    </row>
    <row r="7411">
      <c r="A7411">
        <f>MOD(7411-1,101)</f>
        <v>37</v>
      </c>
    </row>
    <row r="7412">
      <c r="A7412">
        <f>MOD(7412-1,101)</f>
        <v>38</v>
      </c>
    </row>
    <row r="7413">
      <c r="A7413">
        <f>MOD(7413-1,101)</f>
        <v>39</v>
      </c>
    </row>
    <row r="7414">
      <c r="A7414">
        <f>MOD(7414-1,101)</f>
        <v>40</v>
      </c>
    </row>
    <row r="7415">
      <c r="A7415">
        <f>MOD(7415-1,101)</f>
        <v>41</v>
      </c>
    </row>
    <row r="7416">
      <c r="A7416">
        <f>MOD(7416-1,101)</f>
        <v>42</v>
      </c>
    </row>
    <row r="7417">
      <c r="A7417">
        <f>MOD(7417-1,101)</f>
        <v>43</v>
      </c>
    </row>
    <row r="7418">
      <c r="A7418">
        <f>MOD(7418-1,101)</f>
        <v>44</v>
      </c>
    </row>
    <row r="7419">
      <c r="A7419">
        <f>MOD(7419-1,101)</f>
        <v>45</v>
      </c>
    </row>
    <row r="7420">
      <c r="A7420">
        <f>MOD(7420-1,101)</f>
        <v>46</v>
      </c>
    </row>
    <row r="7421">
      <c r="A7421">
        <f>MOD(7421-1,101)</f>
        <v>47</v>
      </c>
    </row>
    <row r="7422">
      <c r="A7422">
        <f>MOD(7422-1,101)</f>
        <v>48</v>
      </c>
    </row>
    <row r="7423">
      <c r="A7423">
        <f>MOD(7423-1,101)</f>
        <v>49</v>
      </c>
    </row>
    <row r="7424">
      <c r="A7424">
        <f>MOD(7424-1,101)</f>
        <v>50</v>
      </c>
    </row>
    <row r="7425">
      <c r="A7425">
        <f>MOD(7425-1,101)</f>
        <v>51</v>
      </c>
    </row>
    <row r="7426">
      <c r="A7426">
        <f>MOD(7426-1,101)</f>
        <v>52</v>
      </c>
    </row>
    <row r="7427">
      <c r="A7427">
        <f>MOD(7427-1,101)</f>
        <v>53</v>
      </c>
    </row>
    <row r="7428">
      <c r="A7428">
        <f>MOD(7428-1,101)</f>
        <v>54</v>
      </c>
    </row>
    <row r="7429">
      <c r="A7429">
        <f>MOD(7429-1,101)</f>
        <v>55</v>
      </c>
    </row>
    <row r="7430">
      <c r="A7430">
        <f>MOD(7430-1,101)</f>
        <v>56</v>
      </c>
    </row>
    <row r="7431">
      <c r="A7431">
        <f>MOD(7431-1,101)</f>
        <v>57</v>
      </c>
    </row>
    <row r="7432">
      <c r="A7432">
        <f>MOD(7432-1,101)</f>
        <v>58</v>
      </c>
    </row>
    <row r="7433">
      <c r="A7433">
        <f>MOD(7433-1,101)</f>
        <v>59</v>
      </c>
    </row>
    <row r="7434">
      <c r="A7434">
        <f>MOD(7434-1,101)</f>
        <v>60</v>
      </c>
    </row>
    <row r="7435">
      <c r="A7435">
        <f>MOD(7435-1,101)</f>
        <v>61</v>
      </c>
    </row>
    <row r="7436">
      <c r="A7436">
        <f>MOD(7436-1,101)</f>
        <v>62</v>
      </c>
    </row>
    <row r="7437">
      <c r="A7437">
        <f>MOD(7437-1,101)</f>
        <v>63</v>
      </c>
    </row>
    <row r="7438">
      <c r="A7438">
        <f>MOD(7438-1,101)</f>
        <v>64</v>
      </c>
    </row>
    <row r="7439">
      <c r="A7439">
        <f>MOD(7439-1,101)</f>
        <v>65</v>
      </c>
    </row>
    <row r="7440">
      <c r="A7440">
        <f>MOD(7440-1,101)</f>
        <v>66</v>
      </c>
    </row>
    <row r="7441">
      <c r="A7441">
        <f>MOD(7441-1,101)</f>
        <v>67</v>
      </c>
    </row>
    <row r="7442">
      <c r="A7442">
        <f>MOD(7442-1,101)</f>
        <v>68</v>
      </c>
    </row>
    <row r="7443">
      <c r="A7443">
        <f>MOD(7443-1,101)</f>
        <v>69</v>
      </c>
    </row>
    <row r="7444">
      <c r="A7444">
        <f>MOD(7444-1,101)</f>
        <v>70</v>
      </c>
    </row>
    <row r="7445">
      <c r="A7445">
        <f>MOD(7445-1,101)</f>
        <v>71</v>
      </c>
    </row>
    <row r="7446">
      <c r="A7446">
        <f>MOD(7446-1,101)</f>
        <v>72</v>
      </c>
    </row>
    <row r="7447">
      <c r="A7447">
        <f>MOD(7447-1,101)</f>
        <v>73</v>
      </c>
    </row>
    <row r="7448">
      <c r="A7448">
        <f>MOD(7448-1,101)</f>
        <v>74</v>
      </c>
    </row>
    <row r="7449">
      <c r="A7449">
        <f>MOD(7449-1,101)</f>
        <v>75</v>
      </c>
    </row>
    <row r="7450">
      <c r="A7450">
        <f>MOD(7450-1,101)</f>
        <v>76</v>
      </c>
    </row>
    <row r="7451">
      <c r="A7451">
        <f>MOD(7451-1,101)</f>
        <v>77</v>
      </c>
    </row>
    <row r="7452">
      <c r="A7452">
        <f>MOD(7452-1,101)</f>
        <v>78</v>
      </c>
    </row>
    <row r="7453">
      <c r="A7453">
        <f>MOD(7453-1,101)</f>
        <v>79</v>
      </c>
    </row>
    <row r="7454">
      <c r="A7454">
        <f>MOD(7454-1,101)</f>
        <v>80</v>
      </c>
    </row>
    <row r="7455">
      <c r="A7455">
        <f>MOD(7455-1,101)</f>
        <v>81</v>
      </c>
    </row>
    <row r="7456">
      <c r="A7456">
        <f>MOD(7456-1,101)</f>
        <v>82</v>
      </c>
    </row>
    <row r="7457">
      <c r="A7457">
        <f>MOD(7457-1,101)</f>
        <v>83</v>
      </c>
    </row>
    <row r="7458">
      <c r="A7458">
        <f>MOD(7458-1,101)</f>
        <v>84</v>
      </c>
    </row>
    <row r="7459">
      <c r="A7459">
        <f>MOD(7459-1,101)</f>
        <v>85</v>
      </c>
    </row>
    <row r="7460">
      <c r="A7460">
        <f>MOD(7460-1,101)</f>
        <v>86</v>
      </c>
    </row>
    <row r="7461">
      <c r="A7461">
        <f>MOD(7461-1,101)</f>
        <v>87</v>
      </c>
    </row>
    <row r="7462">
      <c r="A7462">
        <f>MOD(7462-1,101)</f>
        <v>88</v>
      </c>
    </row>
    <row r="7463">
      <c r="A7463">
        <f>MOD(7463-1,101)</f>
        <v>89</v>
      </c>
    </row>
    <row r="7464">
      <c r="A7464">
        <f>MOD(7464-1,101)</f>
        <v>90</v>
      </c>
    </row>
    <row r="7465">
      <c r="A7465">
        <f>MOD(7465-1,101)</f>
        <v>91</v>
      </c>
    </row>
    <row r="7466">
      <c r="A7466">
        <f>MOD(7466-1,101)</f>
        <v>92</v>
      </c>
    </row>
    <row r="7467">
      <c r="A7467">
        <f>MOD(7467-1,101)</f>
        <v>93</v>
      </c>
    </row>
    <row r="7468">
      <c r="A7468">
        <f>MOD(7468-1,101)</f>
        <v>94</v>
      </c>
    </row>
    <row r="7469">
      <c r="A7469">
        <f>MOD(7469-1,101)</f>
        <v>95</v>
      </c>
    </row>
    <row r="7470">
      <c r="A7470">
        <f>MOD(7470-1,101)</f>
        <v>96</v>
      </c>
    </row>
    <row r="7471">
      <c r="A7471">
        <f>MOD(7471-1,101)</f>
        <v>97</v>
      </c>
    </row>
    <row r="7472">
      <c r="A7472">
        <f>MOD(7472-1,101)</f>
        <v>98</v>
      </c>
    </row>
    <row r="7473">
      <c r="A7473">
        <f>MOD(7473-1,101)</f>
        <v>99</v>
      </c>
    </row>
    <row r="7474">
      <c r="A7474">
        <f>MOD(7474-1,101)</f>
        <v>100</v>
      </c>
    </row>
    <row r="7475">
      <c r="A7475">
        <f>MOD(7475-1,101)</f>
        <v>0</v>
      </c>
    </row>
    <row r="7476">
      <c r="A7476">
        <f>MOD(7476-1,101)</f>
        <v>1</v>
      </c>
    </row>
    <row r="7477">
      <c r="A7477">
        <f>MOD(7477-1,101)</f>
        <v>2</v>
      </c>
    </row>
    <row r="7478">
      <c r="A7478">
        <f>MOD(7478-1,101)</f>
        <v>3</v>
      </c>
    </row>
    <row r="7479">
      <c r="A7479">
        <f>MOD(7479-1,101)</f>
        <v>4</v>
      </c>
    </row>
    <row r="7480">
      <c r="A7480">
        <f>MOD(7480-1,101)</f>
        <v>5</v>
      </c>
    </row>
    <row r="7481">
      <c r="A7481">
        <f>MOD(7481-1,101)</f>
        <v>6</v>
      </c>
    </row>
    <row r="7482">
      <c r="A7482">
        <f>MOD(7482-1,101)</f>
        <v>7</v>
      </c>
    </row>
    <row r="7483">
      <c r="A7483">
        <f>MOD(7483-1,101)</f>
        <v>8</v>
      </c>
    </row>
    <row r="7484">
      <c r="A7484">
        <f>MOD(7484-1,101)</f>
        <v>9</v>
      </c>
    </row>
    <row r="7485">
      <c r="A7485">
        <f>MOD(7485-1,101)</f>
        <v>10</v>
      </c>
    </row>
    <row r="7486">
      <c r="A7486">
        <f>MOD(7486-1,101)</f>
        <v>11</v>
      </c>
    </row>
    <row r="7487">
      <c r="A7487">
        <f>MOD(7487-1,101)</f>
        <v>12</v>
      </c>
    </row>
    <row r="7488">
      <c r="A7488">
        <f>MOD(7488-1,101)</f>
        <v>13</v>
      </c>
    </row>
    <row r="7489">
      <c r="A7489">
        <f>MOD(7489-1,101)</f>
        <v>14</v>
      </c>
    </row>
    <row r="7490">
      <c r="A7490">
        <f>MOD(7490-1,101)</f>
        <v>15</v>
      </c>
    </row>
    <row r="7491">
      <c r="A7491">
        <f>MOD(7491-1,101)</f>
        <v>16</v>
      </c>
    </row>
    <row r="7492">
      <c r="A7492">
        <f>MOD(7492-1,101)</f>
        <v>17</v>
      </c>
    </row>
    <row r="7493">
      <c r="A7493">
        <f>MOD(7493-1,101)</f>
        <v>18</v>
      </c>
    </row>
    <row r="7494">
      <c r="A7494">
        <f>MOD(7494-1,101)</f>
        <v>19</v>
      </c>
    </row>
    <row r="7495">
      <c r="A7495">
        <f>MOD(7495-1,101)</f>
        <v>20</v>
      </c>
    </row>
    <row r="7496">
      <c r="A7496">
        <f>MOD(7496-1,101)</f>
        <v>21</v>
      </c>
    </row>
    <row r="7497">
      <c r="A7497">
        <f>MOD(7497-1,101)</f>
        <v>22</v>
      </c>
    </row>
    <row r="7498">
      <c r="A7498">
        <f>MOD(7498-1,101)</f>
        <v>23</v>
      </c>
    </row>
    <row r="7499">
      <c r="A7499">
        <f>MOD(7499-1,101)</f>
        <v>24</v>
      </c>
    </row>
    <row r="7500">
      <c r="A7500">
        <f>MOD(7500-1,101)</f>
        <v>25</v>
      </c>
    </row>
    <row r="7501">
      <c r="A7501">
        <f>MOD(7501-1,101)</f>
        <v>26</v>
      </c>
    </row>
    <row r="7502">
      <c r="A7502">
        <f>MOD(7502-1,101)</f>
        <v>27</v>
      </c>
    </row>
    <row r="7503">
      <c r="A7503">
        <f>MOD(7503-1,101)</f>
        <v>28</v>
      </c>
    </row>
    <row r="7504">
      <c r="A7504">
        <f>MOD(7504-1,101)</f>
        <v>29</v>
      </c>
    </row>
    <row r="7505">
      <c r="A7505">
        <f>MOD(7505-1,101)</f>
        <v>30</v>
      </c>
    </row>
    <row r="7506">
      <c r="A7506">
        <f>MOD(7506-1,101)</f>
        <v>31</v>
      </c>
    </row>
    <row r="7507">
      <c r="A7507">
        <f>MOD(7507-1,101)</f>
        <v>32</v>
      </c>
    </row>
    <row r="7508">
      <c r="A7508">
        <f>MOD(7508-1,101)</f>
        <v>33</v>
      </c>
    </row>
    <row r="7509">
      <c r="A7509">
        <f>MOD(7509-1,101)</f>
        <v>34</v>
      </c>
    </row>
    <row r="7510">
      <c r="A7510">
        <f>MOD(7510-1,101)</f>
        <v>35</v>
      </c>
    </row>
    <row r="7511">
      <c r="A7511">
        <f>MOD(7511-1,101)</f>
        <v>36</v>
      </c>
    </row>
    <row r="7512">
      <c r="A7512">
        <f>MOD(7512-1,101)</f>
        <v>37</v>
      </c>
    </row>
    <row r="7513">
      <c r="A7513">
        <f>MOD(7513-1,101)</f>
        <v>38</v>
      </c>
    </row>
    <row r="7514">
      <c r="A7514">
        <f>MOD(7514-1,101)</f>
        <v>39</v>
      </c>
    </row>
    <row r="7515">
      <c r="A7515">
        <f>MOD(7515-1,101)</f>
        <v>40</v>
      </c>
    </row>
    <row r="7516">
      <c r="A7516">
        <f>MOD(7516-1,101)</f>
        <v>41</v>
      </c>
    </row>
    <row r="7517">
      <c r="A7517">
        <f>MOD(7517-1,101)</f>
        <v>42</v>
      </c>
    </row>
    <row r="7518">
      <c r="A7518">
        <f>MOD(7518-1,101)</f>
        <v>43</v>
      </c>
    </row>
    <row r="7519">
      <c r="A7519">
        <f>MOD(7519-1,101)</f>
        <v>44</v>
      </c>
    </row>
    <row r="7520">
      <c r="A7520">
        <f>MOD(7520-1,101)</f>
        <v>45</v>
      </c>
    </row>
    <row r="7521">
      <c r="A7521">
        <f>MOD(7521-1,101)</f>
        <v>46</v>
      </c>
    </row>
    <row r="7522">
      <c r="A7522">
        <f>MOD(7522-1,101)</f>
        <v>47</v>
      </c>
    </row>
    <row r="7523">
      <c r="A7523">
        <f>MOD(7523-1,101)</f>
        <v>48</v>
      </c>
    </row>
    <row r="7524">
      <c r="A7524">
        <f>MOD(7524-1,101)</f>
        <v>49</v>
      </c>
    </row>
    <row r="7525">
      <c r="A7525">
        <f>MOD(7525-1,101)</f>
        <v>50</v>
      </c>
    </row>
    <row r="7526">
      <c r="A7526">
        <f>MOD(7526-1,101)</f>
        <v>51</v>
      </c>
    </row>
    <row r="7527">
      <c r="A7527">
        <f>MOD(7527-1,101)</f>
        <v>52</v>
      </c>
    </row>
    <row r="7528">
      <c r="A7528">
        <f>MOD(7528-1,101)</f>
        <v>53</v>
      </c>
    </row>
    <row r="7529">
      <c r="A7529">
        <f>MOD(7529-1,101)</f>
        <v>54</v>
      </c>
    </row>
    <row r="7530">
      <c r="A7530">
        <f>MOD(7530-1,101)</f>
        <v>55</v>
      </c>
    </row>
    <row r="7531">
      <c r="A7531">
        <f>MOD(7531-1,101)</f>
        <v>56</v>
      </c>
    </row>
    <row r="7532">
      <c r="A7532">
        <f>MOD(7532-1,101)</f>
        <v>57</v>
      </c>
    </row>
    <row r="7533">
      <c r="A7533">
        <f>MOD(7533-1,101)</f>
        <v>58</v>
      </c>
    </row>
    <row r="7534">
      <c r="A7534">
        <f>MOD(7534-1,101)</f>
        <v>59</v>
      </c>
    </row>
    <row r="7535">
      <c r="A7535">
        <f>MOD(7535-1,101)</f>
        <v>60</v>
      </c>
    </row>
    <row r="7536">
      <c r="A7536">
        <f>MOD(7536-1,101)</f>
        <v>61</v>
      </c>
    </row>
    <row r="7537">
      <c r="A7537">
        <f>MOD(7537-1,101)</f>
        <v>62</v>
      </c>
    </row>
    <row r="7538">
      <c r="A7538">
        <f>MOD(7538-1,101)</f>
        <v>63</v>
      </c>
    </row>
    <row r="7539">
      <c r="A7539">
        <f>MOD(7539-1,101)</f>
        <v>64</v>
      </c>
    </row>
    <row r="7540">
      <c r="A7540">
        <f>MOD(7540-1,101)</f>
        <v>65</v>
      </c>
    </row>
    <row r="7541">
      <c r="A7541">
        <f>MOD(7541-1,101)</f>
        <v>66</v>
      </c>
    </row>
    <row r="7542">
      <c r="A7542">
        <f>MOD(7542-1,101)</f>
        <v>67</v>
      </c>
    </row>
    <row r="7543">
      <c r="A7543">
        <f>MOD(7543-1,101)</f>
        <v>68</v>
      </c>
    </row>
    <row r="7544">
      <c r="A7544">
        <f>MOD(7544-1,101)</f>
        <v>69</v>
      </c>
    </row>
    <row r="7545">
      <c r="A7545">
        <f>MOD(7545-1,101)</f>
        <v>70</v>
      </c>
    </row>
    <row r="7546">
      <c r="A7546">
        <f>MOD(7546-1,101)</f>
        <v>71</v>
      </c>
    </row>
    <row r="7547">
      <c r="A7547">
        <f>MOD(7547-1,101)</f>
        <v>72</v>
      </c>
    </row>
    <row r="7548">
      <c r="A7548">
        <f>MOD(7548-1,101)</f>
        <v>73</v>
      </c>
    </row>
    <row r="7549">
      <c r="A7549">
        <f>MOD(7549-1,101)</f>
        <v>74</v>
      </c>
    </row>
    <row r="7550">
      <c r="A7550">
        <f>MOD(7550-1,101)</f>
        <v>75</v>
      </c>
    </row>
    <row r="7551">
      <c r="A7551">
        <f>MOD(7551-1,101)</f>
        <v>76</v>
      </c>
    </row>
    <row r="7552">
      <c r="A7552">
        <f>MOD(7552-1,101)</f>
        <v>77</v>
      </c>
    </row>
    <row r="7553">
      <c r="A7553">
        <f>MOD(7553-1,101)</f>
        <v>78</v>
      </c>
    </row>
    <row r="7554">
      <c r="A7554">
        <f>MOD(7554-1,101)</f>
        <v>79</v>
      </c>
    </row>
    <row r="7555">
      <c r="A7555">
        <f>MOD(7555-1,101)</f>
        <v>80</v>
      </c>
    </row>
    <row r="7556">
      <c r="A7556">
        <f>MOD(7556-1,101)</f>
        <v>81</v>
      </c>
    </row>
    <row r="7557">
      <c r="A7557">
        <f>MOD(7557-1,101)</f>
        <v>82</v>
      </c>
    </row>
    <row r="7558">
      <c r="A7558">
        <f>MOD(7558-1,101)</f>
        <v>83</v>
      </c>
    </row>
    <row r="7559">
      <c r="A7559">
        <f>MOD(7559-1,101)</f>
        <v>84</v>
      </c>
    </row>
    <row r="7560">
      <c r="A7560">
        <f>MOD(7560-1,101)</f>
        <v>85</v>
      </c>
    </row>
    <row r="7561">
      <c r="A7561">
        <f>MOD(7561-1,101)</f>
        <v>86</v>
      </c>
    </row>
    <row r="7562">
      <c r="A7562">
        <f>MOD(7562-1,101)</f>
        <v>87</v>
      </c>
    </row>
    <row r="7563">
      <c r="A7563">
        <f>MOD(7563-1,101)</f>
        <v>88</v>
      </c>
    </row>
    <row r="7564">
      <c r="A7564">
        <f>MOD(7564-1,101)</f>
        <v>89</v>
      </c>
    </row>
    <row r="7565">
      <c r="A7565">
        <f>MOD(7565-1,101)</f>
        <v>90</v>
      </c>
    </row>
    <row r="7566">
      <c r="A7566">
        <f>MOD(7566-1,101)</f>
        <v>91</v>
      </c>
    </row>
    <row r="7567">
      <c r="A7567">
        <f>MOD(7567-1,101)</f>
        <v>92</v>
      </c>
    </row>
    <row r="7568">
      <c r="A7568">
        <f>MOD(7568-1,101)</f>
        <v>93</v>
      </c>
    </row>
    <row r="7569">
      <c r="A7569">
        <f>MOD(7569-1,101)</f>
        <v>94</v>
      </c>
    </row>
    <row r="7570">
      <c r="A7570">
        <f>MOD(7570-1,101)</f>
        <v>95</v>
      </c>
    </row>
    <row r="7571">
      <c r="A7571">
        <f>MOD(7571-1,101)</f>
        <v>96</v>
      </c>
    </row>
    <row r="7572">
      <c r="A7572">
        <f>MOD(7572-1,101)</f>
        <v>97</v>
      </c>
    </row>
    <row r="7573">
      <c r="A7573">
        <f>MOD(7573-1,101)</f>
        <v>98</v>
      </c>
    </row>
    <row r="7574">
      <c r="A7574">
        <f>MOD(7574-1,101)</f>
        <v>99</v>
      </c>
    </row>
    <row r="7575">
      <c r="A7575">
        <f>MOD(7575-1,101)</f>
        <v>100</v>
      </c>
    </row>
    <row r="7576">
      <c r="A7576">
        <f>MOD(7576-1,101)</f>
        <v>0</v>
      </c>
    </row>
    <row r="7577">
      <c r="A7577">
        <f>MOD(7577-1,101)</f>
        <v>1</v>
      </c>
    </row>
    <row r="7578">
      <c r="A7578">
        <f>MOD(7578-1,101)</f>
        <v>2</v>
      </c>
    </row>
    <row r="7579">
      <c r="A7579">
        <f>MOD(7579-1,101)</f>
        <v>3</v>
      </c>
    </row>
    <row r="7580">
      <c r="A7580">
        <f>MOD(7580-1,101)</f>
        <v>4</v>
      </c>
    </row>
    <row r="7581">
      <c r="A7581">
        <f>MOD(7581-1,101)</f>
        <v>5</v>
      </c>
    </row>
    <row r="7582">
      <c r="A7582">
        <f>MOD(7582-1,101)</f>
        <v>6</v>
      </c>
    </row>
    <row r="7583">
      <c r="A7583">
        <f>MOD(7583-1,101)</f>
        <v>7</v>
      </c>
    </row>
    <row r="7584">
      <c r="A7584">
        <f>MOD(7584-1,101)</f>
        <v>8</v>
      </c>
    </row>
    <row r="7585">
      <c r="A7585">
        <f>MOD(7585-1,101)</f>
        <v>9</v>
      </c>
    </row>
    <row r="7586">
      <c r="A7586">
        <f>MOD(7586-1,101)</f>
        <v>10</v>
      </c>
    </row>
    <row r="7587">
      <c r="A7587">
        <f>MOD(7587-1,101)</f>
        <v>11</v>
      </c>
    </row>
    <row r="7588">
      <c r="A7588">
        <f>MOD(7588-1,101)</f>
        <v>12</v>
      </c>
    </row>
    <row r="7589">
      <c r="A7589">
        <f>MOD(7589-1,101)</f>
        <v>13</v>
      </c>
    </row>
    <row r="7590">
      <c r="A7590">
        <f>MOD(7590-1,101)</f>
        <v>14</v>
      </c>
    </row>
    <row r="7591">
      <c r="A7591">
        <f>MOD(7591-1,101)</f>
        <v>15</v>
      </c>
    </row>
    <row r="7592">
      <c r="A7592">
        <f>MOD(7592-1,101)</f>
        <v>16</v>
      </c>
    </row>
    <row r="7593">
      <c r="A7593">
        <f>MOD(7593-1,101)</f>
        <v>17</v>
      </c>
    </row>
    <row r="7594">
      <c r="A7594">
        <f>MOD(7594-1,101)</f>
        <v>18</v>
      </c>
    </row>
    <row r="7595">
      <c r="A7595">
        <f>MOD(7595-1,101)</f>
        <v>19</v>
      </c>
    </row>
    <row r="7596">
      <c r="A7596">
        <f>MOD(7596-1,101)</f>
        <v>20</v>
      </c>
    </row>
    <row r="7597">
      <c r="A7597">
        <f>MOD(7597-1,101)</f>
        <v>21</v>
      </c>
    </row>
    <row r="7598">
      <c r="A7598">
        <f>MOD(7598-1,101)</f>
        <v>22</v>
      </c>
    </row>
    <row r="7599">
      <c r="A7599">
        <f>MOD(7599-1,101)</f>
        <v>23</v>
      </c>
    </row>
    <row r="7600">
      <c r="A7600">
        <f>MOD(7600-1,101)</f>
        <v>24</v>
      </c>
    </row>
    <row r="7601">
      <c r="A7601">
        <f>MOD(7601-1,101)</f>
        <v>25</v>
      </c>
    </row>
    <row r="7602">
      <c r="A7602">
        <f>MOD(7602-1,101)</f>
        <v>26</v>
      </c>
    </row>
    <row r="7603">
      <c r="A7603">
        <f>MOD(7603-1,101)</f>
        <v>27</v>
      </c>
    </row>
    <row r="7604">
      <c r="A7604">
        <f>MOD(7604-1,101)</f>
        <v>28</v>
      </c>
    </row>
    <row r="7605">
      <c r="A7605">
        <f>MOD(7605-1,101)</f>
        <v>29</v>
      </c>
    </row>
    <row r="7606">
      <c r="A7606">
        <f>MOD(7606-1,101)</f>
        <v>30</v>
      </c>
    </row>
    <row r="7607">
      <c r="A7607">
        <f>MOD(7607-1,101)</f>
        <v>31</v>
      </c>
    </row>
    <row r="7608">
      <c r="A7608">
        <f>MOD(7608-1,101)</f>
        <v>32</v>
      </c>
    </row>
    <row r="7609">
      <c r="A7609">
        <f>MOD(7609-1,101)</f>
        <v>33</v>
      </c>
    </row>
    <row r="7610">
      <c r="A7610">
        <f>MOD(7610-1,101)</f>
        <v>34</v>
      </c>
    </row>
    <row r="7611">
      <c r="A7611">
        <f>MOD(7611-1,101)</f>
        <v>35</v>
      </c>
    </row>
    <row r="7612">
      <c r="A7612">
        <f>MOD(7612-1,101)</f>
        <v>36</v>
      </c>
    </row>
    <row r="7613">
      <c r="A7613">
        <f>MOD(7613-1,101)</f>
        <v>37</v>
      </c>
    </row>
    <row r="7614">
      <c r="A7614">
        <f>MOD(7614-1,101)</f>
        <v>38</v>
      </c>
    </row>
    <row r="7615">
      <c r="A7615">
        <f>MOD(7615-1,101)</f>
        <v>39</v>
      </c>
    </row>
    <row r="7616">
      <c r="A7616">
        <f>MOD(7616-1,101)</f>
        <v>40</v>
      </c>
    </row>
    <row r="7617">
      <c r="A7617">
        <f>MOD(7617-1,101)</f>
        <v>41</v>
      </c>
    </row>
    <row r="7618">
      <c r="A7618">
        <f>MOD(7618-1,101)</f>
        <v>42</v>
      </c>
    </row>
    <row r="7619">
      <c r="A7619">
        <f>MOD(7619-1,101)</f>
        <v>43</v>
      </c>
    </row>
    <row r="7620">
      <c r="A7620">
        <f>MOD(7620-1,101)</f>
        <v>44</v>
      </c>
    </row>
    <row r="7621">
      <c r="A7621">
        <f>MOD(7621-1,101)</f>
        <v>45</v>
      </c>
    </row>
    <row r="7622">
      <c r="A7622">
        <f>MOD(7622-1,101)</f>
        <v>46</v>
      </c>
    </row>
    <row r="7623">
      <c r="A7623">
        <f>MOD(7623-1,101)</f>
        <v>47</v>
      </c>
    </row>
    <row r="7624">
      <c r="A7624">
        <f>MOD(7624-1,101)</f>
        <v>48</v>
      </c>
    </row>
    <row r="7625">
      <c r="A7625">
        <f>MOD(7625-1,101)</f>
        <v>49</v>
      </c>
    </row>
    <row r="7626">
      <c r="A7626">
        <f>MOD(7626-1,101)</f>
        <v>50</v>
      </c>
    </row>
    <row r="7627">
      <c r="A7627">
        <f>MOD(7627-1,101)</f>
        <v>51</v>
      </c>
    </row>
    <row r="7628">
      <c r="A7628">
        <f>MOD(7628-1,101)</f>
        <v>52</v>
      </c>
    </row>
    <row r="7629">
      <c r="A7629">
        <f>MOD(7629-1,101)</f>
        <v>53</v>
      </c>
    </row>
    <row r="7630">
      <c r="A7630">
        <f>MOD(7630-1,101)</f>
        <v>54</v>
      </c>
    </row>
    <row r="7631">
      <c r="A7631">
        <f>MOD(7631-1,101)</f>
        <v>55</v>
      </c>
    </row>
    <row r="7632">
      <c r="A7632">
        <f>MOD(7632-1,101)</f>
        <v>56</v>
      </c>
    </row>
    <row r="7633">
      <c r="A7633">
        <f>MOD(7633-1,101)</f>
        <v>57</v>
      </c>
    </row>
    <row r="7634">
      <c r="A7634">
        <f>MOD(7634-1,101)</f>
        <v>58</v>
      </c>
    </row>
    <row r="7635">
      <c r="A7635">
        <f>MOD(7635-1,101)</f>
        <v>59</v>
      </c>
    </row>
    <row r="7636">
      <c r="A7636">
        <f>MOD(7636-1,101)</f>
        <v>60</v>
      </c>
    </row>
    <row r="7637">
      <c r="A7637">
        <f>MOD(7637-1,101)</f>
        <v>61</v>
      </c>
    </row>
    <row r="7638">
      <c r="A7638">
        <f>MOD(7638-1,101)</f>
        <v>62</v>
      </c>
    </row>
    <row r="7639">
      <c r="A7639">
        <f>MOD(7639-1,101)</f>
        <v>63</v>
      </c>
    </row>
    <row r="7640">
      <c r="A7640">
        <f>MOD(7640-1,101)</f>
        <v>64</v>
      </c>
    </row>
    <row r="7641">
      <c r="A7641">
        <f>MOD(7641-1,101)</f>
        <v>65</v>
      </c>
    </row>
    <row r="7642">
      <c r="A7642">
        <f>MOD(7642-1,101)</f>
        <v>66</v>
      </c>
    </row>
    <row r="7643">
      <c r="A7643">
        <f>MOD(7643-1,101)</f>
        <v>67</v>
      </c>
    </row>
    <row r="7644">
      <c r="A7644">
        <f>MOD(7644-1,101)</f>
        <v>68</v>
      </c>
    </row>
    <row r="7645">
      <c r="A7645">
        <f>MOD(7645-1,101)</f>
        <v>69</v>
      </c>
    </row>
    <row r="7646">
      <c r="A7646">
        <f>MOD(7646-1,101)</f>
        <v>70</v>
      </c>
    </row>
    <row r="7647">
      <c r="A7647">
        <f>MOD(7647-1,101)</f>
        <v>71</v>
      </c>
    </row>
    <row r="7648">
      <c r="A7648">
        <f>MOD(7648-1,101)</f>
        <v>72</v>
      </c>
    </row>
    <row r="7649">
      <c r="A7649">
        <f>MOD(7649-1,101)</f>
        <v>73</v>
      </c>
    </row>
    <row r="7650">
      <c r="A7650">
        <f>MOD(7650-1,101)</f>
        <v>74</v>
      </c>
    </row>
    <row r="7651">
      <c r="A7651">
        <f>MOD(7651-1,101)</f>
        <v>75</v>
      </c>
    </row>
    <row r="7652">
      <c r="A7652">
        <f>MOD(7652-1,101)</f>
        <v>76</v>
      </c>
    </row>
    <row r="7653">
      <c r="A7653">
        <f>MOD(7653-1,101)</f>
        <v>77</v>
      </c>
    </row>
    <row r="7654">
      <c r="A7654">
        <f>MOD(7654-1,101)</f>
        <v>78</v>
      </c>
    </row>
    <row r="7655">
      <c r="A7655">
        <f>MOD(7655-1,101)</f>
        <v>79</v>
      </c>
    </row>
    <row r="7656">
      <c r="A7656">
        <f>MOD(7656-1,101)</f>
        <v>80</v>
      </c>
    </row>
    <row r="7657">
      <c r="A7657">
        <f>MOD(7657-1,101)</f>
        <v>81</v>
      </c>
    </row>
    <row r="7658">
      <c r="A7658">
        <f>MOD(7658-1,101)</f>
        <v>82</v>
      </c>
    </row>
    <row r="7659">
      <c r="A7659">
        <f>MOD(7659-1,101)</f>
        <v>83</v>
      </c>
    </row>
    <row r="7660">
      <c r="A7660">
        <f>MOD(7660-1,101)</f>
        <v>84</v>
      </c>
    </row>
    <row r="7661">
      <c r="A7661">
        <f>MOD(7661-1,101)</f>
        <v>85</v>
      </c>
    </row>
    <row r="7662">
      <c r="A7662">
        <f>MOD(7662-1,101)</f>
        <v>86</v>
      </c>
    </row>
    <row r="7663">
      <c r="A7663">
        <f>MOD(7663-1,101)</f>
        <v>87</v>
      </c>
    </row>
    <row r="7664">
      <c r="A7664">
        <f>MOD(7664-1,101)</f>
        <v>88</v>
      </c>
    </row>
    <row r="7665">
      <c r="A7665">
        <f>MOD(7665-1,101)</f>
        <v>89</v>
      </c>
    </row>
    <row r="7666">
      <c r="A7666">
        <f>MOD(7666-1,101)</f>
        <v>90</v>
      </c>
    </row>
    <row r="7667">
      <c r="A7667">
        <f>MOD(7667-1,101)</f>
        <v>91</v>
      </c>
    </row>
    <row r="7668">
      <c r="A7668">
        <f>MOD(7668-1,101)</f>
        <v>92</v>
      </c>
    </row>
    <row r="7669">
      <c r="A7669">
        <f>MOD(7669-1,101)</f>
        <v>93</v>
      </c>
    </row>
    <row r="7670">
      <c r="A7670">
        <f>MOD(7670-1,101)</f>
        <v>94</v>
      </c>
    </row>
    <row r="7671">
      <c r="A7671">
        <f>MOD(7671-1,101)</f>
        <v>95</v>
      </c>
    </row>
    <row r="7672">
      <c r="A7672">
        <f>MOD(7672-1,101)</f>
        <v>96</v>
      </c>
    </row>
    <row r="7673">
      <c r="A7673">
        <f>MOD(7673-1,101)</f>
        <v>97</v>
      </c>
    </row>
    <row r="7674">
      <c r="A7674">
        <f>MOD(7674-1,101)</f>
        <v>98</v>
      </c>
    </row>
    <row r="7675">
      <c r="A7675">
        <f>MOD(7675-1,101)</f>
        <v>99</v>
      </c>
    </row>
    <row r="7676">
      <c r="A7676">
        <f>MOD(7676-1,101)</f>
        <v>100</v>
      </c>
    </row>
    <row r="7677">
      <c r="A7677">
        <f>MOD(7677-1,101)</f>
        <v>0</v>
      </c>
    </row>
    <row r="7678">
      <c r="A7678">
        <f>MOD(7678-1,101)</f>
        <v>1</v>
      </c>
    </row>
    <row r="7679">
      <c r="A7679">
        <f>MOD(7679-1,101)</f>
        <v>2</v>
      </c>
    </row>
    <row r="7680">
      <c r="A7680">
        <f>MOD(7680-1,101)</f>
        <v>3</v>
      </c>
    </row>
    <row r="7681">
      <c r="A7681">
        <f>MOD(7681-1,101)</f>
        <v>4</v>
      </c>
    </row>
    <row r="7682">
      <c r="A7682">
        <f>MOD(7682-1,101)</f>
        <v>5</v>
      </c>
    </row>
    <row r="7683">
      <c r="A7683">
        <f>MOD(7683-1,101)</f>
        <v>6</v>
      </c>
    </row>
    <row r="7684">
      <c r="A7684">
        <f>MOD(7684-1,101)</f>
        <v>7</v>
      </c>
    </row>
    <row r="7685">
      <c r="A7685">
        <f>MOD(7685-1,101)</f>
        <v>8</v>
      </c>
    </row>
    <row r="7686">
      <c r="A7686">
        <f>MOD(7686-1,101)</f>
        <v>9</v>
      </c>
    </row>
    <row r="7687">
      <c r="A7687">
        <f>MOD(7687-1,101)</f>
        <v>10</v>
      </c>
    </row>
    <row r="7688">
      <c r="A7688">
        <f>MOD(7688-1,101)</f>
        <v>11</v>
      </c>
    </row>
    <row r="7689">
      <c r="A7689">
        <f>MOD(7689-1,101)</f>
        <v>12</v>
      </c>
    </row>
    <row r="7690">
      <c r="A7690">
        <f>MOD(7690-1,101)</f>
        <v>13</v>
      </c>
    </row>
    <row r="7691">
      <c r="A7691">
        <f>MOD(7691-1,101)</f>
        <v>14</v>
      </c>
    </row>
    <row r="7692">
      <c r="A7692">
        <f>MOD(7692-1,101)</f>
        <v>15</v>
      </c>
    </row>
    <row r="7693">
      <c r="A7693">
        <f>MOD(7693-1,101)</f>
        <v>16</v>
      </c>
    </row>
    <row r="7694">
      <c r="A7694">
        <f>MOD(7694-1,101)</f>
        <v>17</v>
      </c>
    </row>
    <row r="7695">
      <c r="A7695">
        <f>MOD(7695-1,101)</f>
        <v>18</v>
      </c>
    </row>
    <row r="7696">
      <c r="A7696">
        <f>MOD(7696-1,101)</f>
        <v>19</v>
      </c>
    </row>
    <row r="7697">
      <c r="A7697">
        <f>MOD(7697-1,101)</f>
        <v>20</v>
      </c>
    </row>
    <row r="7698">
      <c r="A7698">
        <f>MOD(7698-1,101)</f>
        <v>21</v>
      </c>
    </row>
    <row r="7699">
      <c r="A7699">
        <f>MOD(7699-1,101)</f>
        <v>22</v>
      </c>
    </row>
    <row r="7700">
      <c r="A7700">
        <f>MOD(7700-1,101)</f>
        <v>23</v>
      </c>
    </row>
    <row r="7701">
      <c r="A7701">
        <f>MOD(7701-1,101)</f>
        <v>24</v>
      </c>
    </row>
    <row r="7702">
      <c r="A7702">
        <f>MOD(7702-1,101)</f>
        <v>25</v>
      </c>
    </row>
    <row r="7703">
      <c r="A7703">
        <f>MOD(7703-1,101)</f>
        <v>26</v>
      </c>
    </row>
    <row r="7704">
      <c r="A7704">
        <f>MOD(7704-1,101)</f>
        <v>27</v>
      </c>
    </row>
    <row r="7705">
      <c r="A7705">
        <f>MOD(7705-1,101)</f>
        <v>28</v>
      </c>
    </row>
    <row r="7706">
      <c r="A7706">
        <f>MOD(7706-1,101)</f>
        <v>29</v>
      </c>
    </row>
    <row r="7707">
      <c r="A7707">
        <f>MOD(7707-1,101)</f>
        <v>30</v>
      </c>
    </row>
    <row r="7708">
      <c r="A7708">
        <f>MOD(7708-1,101)</f>
        <v>31</v>
      </c>
    </row>
    <row r="7709">
      <c r="A7709">
        <f>MOD(7709-1,101)</f>
        <v>32</v>
      </c>
    </row>
    <row r="7710">
      <c r="A7710">
        <f>MOD(7710-1,101)</f>
        <v>33</v>
      </c>
    </row>
    <row r="7711">
      <c r="A7711">
        <f>MOD(7711-1,101)</f>
        <v>34</v>
      </c>
    </row>
    <row r="7712">
      <c r="A7712">
        <f>MOD(7712-1,101)</f>
        <v>35</v>
      </c>
    </row>
    <row r="7713">
      <c r="A7713">
        <f>MOD(7713-1,101)</f>
        <v>36</v>
      </c>
    </row>
    <row r="7714">
      <c r="A7714">
        <f>MOD(7714-1,101)</f>
        <v>37</v>
      </c>
    </row>
    <row r="7715">
      <c r="A7715">
        <f>MOD(7715-1,101)</f>
        <v>38</v>
      </c>
    </row>
    <row r="7716">
      <c r="A7716">
        <f>MOD(7716-1,101)</f>
        <v>39</v>
      </c>
    </row>
    <row r="7717">
      <c r="A7717">
        <f>MOD(7717-1,101)</f>
        <v>40</v>
      </c>
    </row>
    <row r="7718">
      <c r="A7718">
        <f>MOD(7718-1,101)</f>
        <v>41</v>
      </c>
    </row>
    <row r="7719">
      <c r="A7719">
        <f>MOD(7719-1,101)</f>
        <v>42</v>
      </c>
    </row>
    <row r="7720">
      <c r="A7720">
        <f>MOD(7720-1,101)</f>
        <v>43</v>
      </c>
    </row>
    <row r="7721">
      <c r="A7721">
        <f>MOD(7721-1,101)</f>
        <v>44</v>
      </c>
    </row>
    <row r="7722">
      <c r="A7722">
        <f>MOD(7722-1,101)</f>
        <v>45</v>
      </c>
    </row>
    <row r="7723">
      <c r="A7723">
        <f>MOD(7723-1,101)</f>
        <v>46</v>
      </c>
    </row>
    <row r="7724">
      <c r="A7724">
        <f>MOD(7724-1,101)</f>
        <v>47</v>
      </c>
    </row>
    <row r="7725">
      <c r="A7725">
        <f>MOD(7725-1,101)</f>
        <v>48</v>
      </c>
    </row>
    <row r="7726">
      <c r="A7726">
        <f>MOD(7726-1,101)</f>
        <v>49</v>
      </c>
    </row>
    <row r="7727">
      <c r="A7727">
        <f>MOD(7727-1,101)</f>
        <v>50</v>
      </c>
    </row>
    <row r="7728">
      <c r="A7728">
        <f>MOD(7728-1,101)</f>
        <v>51</v>
      </c>
    </row>
    <row r="7729">
      <c r="A7729">
        <f>MOD(7729-1,101)</f>
        <v>52</v>
      </c>
    </row>
    <row r="7730">
      <c r="A7730">
        <f>MOD(7730-1,101)</f>
        <v>53</v>
      </c>
    </row>
    <row r="7731">
      <c r="A7731">
        <f>MOD(7731-1,101)</f>
        <v>54</v>
      </c>
    </row>
    <row r="7732">
      <c r="A7732">
        <f>MOD(7732-1,101)</f>
        <v>55</v>
      </c>
    </row>
    <row r="7733">
      <c r="A7733">
        <f>MOD(7733-1,101)</f>
        <v>56</v>
      </c>
    </row>
    <row r="7734">
      <c r="A7734">
        <f>MOD(7734-1,101)</f>
        <v>57</v>
      </c>
    </row>
    <row r="7735">
      <c r="A7735">
        <f>MOD(7735-1,101)</f>
        <v>58</v>
      </c>
    </row>
    <row r="7736">
      <c r="A7736">
        <f>MOD(7736-1,101)</f>
        <v>59</v>
      </c>
    </row>
    <row r="7737">
      <c r="A7737">
        <f>MOD(7737-1,101)</f>
        <v>60</v>
      </c>
    </row>
    <row r="7738">
      <c r="A7738">
        <f>MOD(7738-1,101)</f>
        <v>61</v>
      </c>
    </row>
    <row r="7739">
      <c r="A7739">
        <f>MOD(7739-1,101)</f>
        <v>62</v>
      </c>
    </row>
    <row r="7740">
      <c r="A7740">
        <f>MOD(7740-1,101)</f>
        <v>63</v>
      </c>
    </row>
    <row r="7741">
      <c r="A7741">
        <f>MOD(7741-1,101)</f>
        <v>64</v>
      </c>
    </row>
    <row r="7742">
      <c r="A7742">
        <f>MOD(7742-1,101)</f>
        <v>65</v>
      </c>
    </row>
    <row r="7743">
      <c r="A7743">
        <f>MOD(7743-1,101)</f>
        <v>66</v>
      </c>
    </row>
    <row r="7744">
      <c r="A7744">
        <f>MOD(7744-1,101)</f>
        <v>67</v>
      </c>
    </row>
    <row r="7745">
      <c r="A7745">
        <f>MOD(7745-1,101)</f>
        <v>68</v>
      </c>
    </row>
    <row r="7746">
      <c r="A7746">
        <f>MOD(7746-1,101)</f>
        <v>69</v>
      </c>
    </row>
    <row r="7747">
      <c r="A7747">
        <f>MOD(7747-1,101)</f>
        <v>70</v>
      </c>
    </row>
    <row r="7748">
      <c r="A7748">
        <f>MOD(7748-1,101)</f>
        <v>71</v>
      </c>
    </row>
    <row r="7749">
      <c r="A7749">
        <f>MOD(7749-1,101)</f>
        <v>72</v>
      </c>
    </row>
    <row r="7750">
      <c r="A7750">
        <f>MOD(7750-1,101)</f>
        <v>73</v>
      </c>
    </row>
    <row r="7751">
      <c r="A7751">
        <f>MOD(7751-1,101)</f>
        <v>74</v>
      </c>
    </row>
    <row r="7752">
      <c r="A7752">
        <f>MOD(7752-1,101)</f>
        <v>75</v>
      </c>
    </row>
    <row r="7753">
      <c r="A7753">
        <f>MOD(7753-1,101)</f>
        <v>76</v>
      </c>
    </row>
    <row r="7754">
      <c r="A7754">
        <f>MOD(7754-1,101)</f>
        <v>77</v>
      </c>
    </row>
    <row r="7755">
      <c r="A7755">
        <f>MOD(7755-1,101)</f>
        <v>78</v>
      </c>
    </row>
    <row r="7756">
      <c r="A7756">
        <f>MOD(7756-1,101)</f>
        <v>79</v>
      </c>
    </row>
    <row r="7757">
      <c r="A7757">
        <f>MOD(7757-1,101)</f>
        <v>80</v>
      </c>
    </row>
    <row r="7758">
      <c r="A7758">
        <f>MOD(7758-1,101)</f>
        <v>81</v>
      </c>
    </row>
    <row r="7759">
      <c r="A7759">
        <f>MOD(7759-1,101)</f>
        <v>82</v>
      </c>
    </row>
    <row r="7760">
      <c r="A7760">
        <f>MOD(7760-1,101)</f>
        <v>83</v>
      </c>
    </row>
    <row r="7761">
      <c r="A7761">
        <f>MOD(7761-1,101)</f>
        <v>84</v>
      </c>
    </row>
    <row r="7762">
      <c r="A7762">
        <f>MOD(7762-1,101)</f>
        <v>85</v>
      </c>
    </row>
    <row r="7763">
      <c r="A7763">
        <f>MOD(7763-1,101)</f>
        <v>86</v>
      </c>
    </row>
    <row r="7764">
      <c r="A7764">
        <f>MOD(7764-1,101)</f>
        <v>87</v>
      </c>
    </row>
    <row r="7765">
      <c r="A7765">
        <f>MOD(7765-1,101)</f>
        <v>88</v>
      </c>
    </row>
    <row r="7766">
      <c r="A7766">
        <f>MOD(7766-1,101)</f>
        <v>89</v>
      </c>
    </row>
    <row r="7767">
      <c r="A7767">
        <f>MOD(7767-1,101)</f>
        <v>90</v>
      </c>
    </row>
    <row r="7768">
      <c r="A7768">
        <f>MOD(7768-1,101)</f>
        <v>91</v>
      </c>
    </row>
    <row r="7769">
      <c r="A7769">
        <f>MOD(7769-1,101)</f>
        <v>92</v>
      </c>
    </row>
    <row r="7770">
      <c r="A7770">
        <f>MOD(7770-1,101)</f>
        <v>93</v>
      </c>
    </row>
    <row r="7771">
      <c r="A7771">
        <f>MOD(7771-1,101)</f>
        <v>94</v>
      </c>
    </row>
    <row r="7772">
      <c r="A7772">
        <f>MOD(7772-1,101)</f>
        <v>95</v>
      </c>
    </row>
    <row r="7773">
      <c r="A7773">
        <f>MOD(7773-1,101)</f>
        <v>96</v>
      </c>
    </row>
    <row r="7774">
      <c r="A7774">
        <f>MOD(7774-1,101)</f>
        <v>97</v>
      </c>
    </row>
    <row r="7775">
      <c r="A7775">
        <f>MOD(7775-1,101)</f>
        <v>98</v>
      </c>
    </row>
    <row r="7776">
      <c r="A7776">
        <f>MOD(7776-1,101)</f>
        <v>99</v>
      </c>
    </row>
    <row r="7777">
      <c r="A7777">
        <f>MOD(7777-1,101)</f>
        <v>100</v>
      </c>
    </row>
    <row r="7778">
      <c r="A7778">
        <f>MOD(7778-1,101)</f>
        <v>0</v>
      </c>
    </row>
    <row r="7779">
      <c r="A7779">
        <f>MOD(7779-1,101)</f>
        <v>1</v>
      </c>
    </row>
    <row r="7780">
      <c r="A7780">
        <f>MOD(7780-1,101)</f>
        <v>2</v>
      </c>
    </row>
    <row r="7781">
      <c r="A7781">
        <f>MOD(7781-1,101)</f>
        <v>3</v>
      </c>
    </row>
    <row r="7782">
      <c r="A7782">
        <f>MOD(7782-1,101)</f>
        <v>4</v>
      </c>
    </row>
    <row r="7783">
      <c r="A7783">
        <f>MOD(7783-1,101)</f>
        <v>5</v>
      </c>
    </row>
    <row r="7784">
      <c r="A7784">
        <f>MOD(7784-1,101)</f>
        <v>6</v>
      </c>
    </row>
    <row r="7785">
      <c r="A7785">
        <f>MOD(7785-1,101)</f>
        <v>7</v>
      </c>
    </row>
    <row r="7786">
      <c r="A7786">
        <f>MOD(7786-1,101)</f>
        <v>8</v>
      </c>
    </row>
    <row r="7787">
      <c r="A7787">
        <f>MOD(7787-1,101)</f>
        <v>9</v>
      </c>
    </row>
    <row r="7788">
      <c r="A7788">
        <f>MOD(7788-1,101)</f>
        <v>10</v>
      </c>
    </row>
    <row r="7789">
      <c r="A7789">
        <f>MOD(7789-1,101)</f>
        <v>11</v>
      </c>
    </row>
    <row r="7790">
      <c r="A7790">
        <f>MOD(7790-1,101)</f>
        <v>12</v>
      </c>
    </row>
    <row r="7791">
      <c r="A7791">
        <f>MOD(7791-1,101)</f>
        <v>13</v>
      </c>
    </row>
    <row r="7792">
      <c r="A7792">
        <f>MOD(7792-1,101)</f>
        <v>14</v>
      </c>
    </row>
    <row r="7793">
      <c r="A7793">
        <f>MOD(7793-1,101)</f>
        <v>15</v>
      </c>
    </row>
    <row r="7794">
      <c r="A7794">
        <f>MOD(7794-1,101)</f>
        <v>16</v>
      </c>
    </row>
    <row r="7795">
      <c r="A7795">
        <f>MOD(7795-1,101)</f>
        <v>17</v>
      </c>
    </row>
    <row r="7796">
      <c r="A7796">
        <f>MOD(7796-1,101)</f>
        <v>18</v>
      </c>
    </row>
    <row r="7797">
      <c r="A7797">
        <f>MOD(7797-1,101)</f>
        <v>19</v>
      </c>
    </row>
    <row r="7798">
      <c r="A7798">
        <f>MOD(7798-1,101)</f>
        <v>20</v>
      </c>
    </row>
    <row r="7799">
      <c r="A7799">
        <f>MOD(7799-1,101)</f>
        <v>21</v>
      </c>
    </row>
    <row r="7800">
      <c r="A7800">
        <f>MOD(7800-1,101)</f>
        <v>22</v>
      </c>
    </row>
    <row r="7801">
      <c r="A7801">
        <f>MOD(7801-1,101)</f>
        <v>23</v>
      </c>
    </row>
    <row r="7802">
      <c r="A7802">
        <f>MOD(7802-1,101)</f>
        <v>24</v>
      </c>
    </row>
    <row r="7803">
      <c r="A7803">
        <f>MOD(7803-1,101)</f>
        <v>25</v>
      </c>
    </row>
    <row r="7804">
      <c r="A7804">
        <f>MOD(7804-1,101)</f>
        <v>26</v>
      </c>
    </row>
    <row r="7805">
      <c r="A7805">
        <f>MOD(7805-1,101)</f>
        <v>27</v>
      </c>
    </row>
    <row r="7806">
      <c r="A7806">
        <f>MOD(7806-1,101)</f>
        <v>28</v>
      </c>
    </row>
    <row r="7807">
      <c r="A7807">
        <f>MOD(7807-1,101)</f>
        <v>29</v>
      </c>
    </row>
    <row r="7808">
      <c r="A7808">
        <f>MOD(7808-1,101)</f>
        <v>30</v>
      </c>
    </row>
    <row r="7809">
      <c r="A7809">
        <f>MOD(7809-1,101)</f>
        <v>31</v>
      </c>
    </row>
    <row r="7810">
      <c r="A7810">
        <f>MOD(7810-1,101)</f>
        <v>32</v>
      </c>
    </row>
    <row r="7811">
      <c r="A7811">
        <f>MOD(7811-1,101)</f>
        <v>33</v>
      </c>
    </row>
    <row r="7812">
      <c r="A7812">
        <f>MOD(7812-1,101)</f>
        <v>34</v>
      </c>
    </row>
    <row r="7813">
      <c r="A7813">
        <f>MOD(7813-1,101)</f>
        <v>35</v>
      </c>
    </row>
    <row r="7814">
      <c r="A7814">
        <f>MOD(7814-1,101)</f>
        <v>36</v>
      </c>
    </row>
    <row r="7815">
      <c r="A7815">
        <f>MOD(7815-1,101)</f>
        <v>37</v>
      </c>
    </row>
    <row r="7816">
      <c r="A7816">
        <f>MOD(7816-1,101)</f>
        <v>38</v>
      </c>
    </row>
    <row r="7817">
      <c r="A7817">
        <f>MOD(7817-1,101)</f>
        <v>39</v>
      </c>
    </row>
    <row r="7818">
      <c r="A7818">
        <f>MOD(7818-1,101)</f>
        <v>40</v>
      </c>
    </row>
    <row r="7819">
      <c r="A7819">
        <f>MOD(7819-1,101)</f>
        <v>41</v>
      </c>
    </row>
    <row r="7820">
      <c r="A7820">
        <f>MOD(7820-1,101)</f>
        <v>42</v>
      </c>
    </row>
    <row r="7821">
      <c r="A7821">
        <f>MOD(7821-1,101)</f>
        <v>43</v>
      </c>
    </row>
    <row r="7822">
      <c r="A7822">
        <f>MOD(7822-1,101)</f>
        <v>44</v>
      </c>
    </row>
    <row r="7823">
      <c r="A7823">
        <f>MOD(7823-1,101)</f>
        <v>45</v>
      </c>
    </row>
    <row r="7824">
      <c r="A7824">
        <f>MOD(7824-1,101)</f>
        <v>46</v>
      </c>
    </row>
    <row r="7825">
      <c r="A7825">
        <f>MOD(7825-1,101)</f>
        <v>47</v>
      </c>
    </row>
    <row r="7826">
      <c r="A7826">
        <f>MOD(7826-1,101)</f>
        <v>48</v>
      </c>
    </row>
    <row r="7827">
      <c r="A7827">
        <f>MOD(7827-1,101)</f>
        <v>49</v>
      </c>
    </row>
    <row r="7828">
      <c r="A7828">
        <f>MOD(7828-1,101)</f>
        <v>50</v>
      </c>
    </row>
    <row r="7829">
      <c r="A7829">
        <f>MOD(7829-1,101)</f>
        <v>51</v>
      </c>
    </row>
    <row r="7830">
      <c r="A7830">
        <f>MOD(7830-1,101)</f>
        <v>52</v>
      </c>
    </row>
    <row r="7831">
      <c r="A7831">
        <f>MOD(7831-1,101)</f>
        <v>53</v>
      </c>
    </row>
    <row r="7832">
      <c r="A7832">
        <f>MOD(7832-1,101)</f>
        <v>54</v>
      </c>
    </row>
    <row r="7833">
      <c r="A7833">
        <f>MOD(7833-1,101)</f>
        <v>55</v>
      </c>
    </row>
    <row r="7834">
      <c r="A7834">
        <f>MOD(7834-1,101)</f>
        <v>56</v>
      </c>
    </row>
    <row r="7835">
      <c r="A7835">
        <f>MOD(7835-1,101)</f>
        <v>57</v>
      </c>
    </row>
    <row r="7836">
      <c r="A7836">
        <f>MOD(7836-1,101)</f>
        <v>58</v>
      </c>
    </row>
    <row r="7837">
      <c r="A7837">
        <f>MOD(7837-1,101)</f>
        <v>59</v>
      </c>
    </row>
    <row r="7838">
      <c r="A7838">
        <f>MOD(7838-1,101)</f>
        <v>60</v>
      </c>
    </row>
    <row r="7839">
      <c r="A7839">
        <f>MOD(7839-1,101)</f>
        <v>61</v>
      </c>
    </row>
    <row r="7840">
      <c r="A7840">
        <f>MOD(7840-1,101)</f>
        <v>62</v>
      </c>
    </row>
    <row r="7841">
      <c r="A7841">
        <f>MOD(7841-1,101)</f>
        <v>63</v>
      </c>
    </row>
    <row r="7842">
      <c r="A7842">
        <f>MOD(7842-1,101)</f>
        <v>64</v>
      </c>
    </row>
    <row r="7843">
      <c r="A7843">
        <f>MOD(7843-1,101)</f>
        <v>65</v>
      </c>
    </row>
    <row r="7844">
      <c r="A7844">
        <f>MOD(7844-1,101)</f>
        <v>66</v>
      </c>
    </row>
    <row r="7845">
      <c r="A7845">
        <f>MOD(7845-1,101)</f>
        <v>67</v>
      </c>
    </row>
    <row r="7846">
      <c r="A7846">
        <f>MOD(7846-1,101)</f>
        <v>68</v>
      </c>
    </row>
    <row r="7847">
      <c r="A7847">
        <f>MOD(7847-1,101)</f>
        <v>69</v>
      </c>
    </row>
    <row r="7848">
      <c r="A7848">
        <f>MOD(7848-1,101)</f>
        <v>70</v>
      </c>
    </row>
    <row r="7849">
      <c r="A7849">
        <f>MOD(7849-1,101)</f>
        <v>71</v>
      </c>
    </row>
    <row r="7850">
      <c r="A7850">
        <f>MOD(7850-1,101)</f>
        <v>72</v>
      </c>
    </row>
    <row r="7851">
      <c r="A7851">
        <f>MOD(7851-1,101)</f>
        <v>73</v>
      </c>
    </row>
    <row r="7852">
      <c r="A7852">
        <f>MOD(7852-1,101)</f>
        <v>74</v>
      </c>
    </row>
    <row r="7853">
      <c r="A7853">
        <f>MOD(7853-1,101)</f>
        <v>75</v>
      </c>
    </row>
    <row r="7854">
      <c r="A7854">
        <f>MOD(7854-1,101)</f>
        <v>76</v>
      </c>
    </row>
    <row r="7855">
      <c r="A7855">
        <f>MOD(7855-1,101)</f>
        <v>77</v>
      </c>
    </row>
    <row r="7856">
      <c r="A7856">
        <f>MOD(7856-1,101)</f>
        <v>78</v>
      </c>
    </row>
    <row r="7857">
      <c r="A7857">
        <f>MOD(7857-1,101)</f>
        <v>79</v>
      </c>
    </row>
    <row r="7858">
      <c r="A7858">
        <f>MOD(7858-1,101)</f>
        <v>80</v>
      </c>
    </row>
    <row r="7859">
      <c r="A7859">
        <f>MOD(7859-1,101)</f>
        <v>81</v>
      </c>
    </row>
    <row r="7860">
      <c r="A7860">
        <f>MOD(7860-1,101)</f>
        <v>82</v>
      </c>
    </row>
    <row r="7861">
      <c r="A7861">
        <f>MOD(7861-1,101)</f>
        <v>83</v>
      </c>
    </row>
    <row r="7862">
      <c r="A7862">
        <f>MOD(7862-1,101)</f>
        <v>84</v>
      </c>
    </row>
    <row r="7863">
      <c r="A7863">
        <f>MOD(7863-1,101)</f>
        <v>85</v>
      </c>
    </row>
    <row r="7864">
      <c r="A7864">
        <f>MOD(7864-1,101)</f>
        <v>86</v>
      </c>
    </row>
    <row r="7865">
      <c r="A7865">
        <f>MOD(7865-1,101)</f>
        <v>87</v>
      </c>
    </row>
    <row r="7866">
      <c r="A7866">
        <f>MOD(7866-1,101)</f>
        <v>88</v>
      </c>
    </row>
    <row r="7867">
      <c r="A7867">
        <f>MOD(7867-1,101)</f>
        <v>89</v>
      </c>
    </row>
    <row r="7868">
      <c r="A7868">
        <f>MOD(7868-1,101)</f>
        <v>90</v>
      </c>
    </row>
    <row r="7869">
      <c r="A7869">
        <f>MOD(7869-1,101)</f>
        <v>91</v>
      </c>
    </row>
    <row r="7870">
      <c r="A7870">
        <f>MOD(7870-1,101)</f>
        <v>92</v>
      </c>
    </row>
    <row r="7871">
      <c r="A7871">
        <f>MOD(7871-1,101)</f>
        <v>93</v>
      </c>
    </row>
    <row r="7872">
      <c r="A7872">
        <f>MOD(7872-1,101)</f>
        <v>94</v>
      </c>
    </row>
    <row r="7873">
      <c r="A7873">
        <f>MOD(7873-1,101)</f>
        <v>95</v>
      </c>
    </row>
    <row r="7874">
      <c r="A7874">
        <f>MOD(7874-1,101)</f>
        <v>96</v>
      </c>
    </row>
    <row r="7875">
      <c r="A7875">
        <f>MOD(7875-1,101)</f>
        <v>97</v>
      </c>
    </row>
    <row r="7876">
      <c r="A7876">
        <f>MOD(7876-1,101)</f>
        <v>98</v>
      </c>
    </row>
    <row r="7877">
      <c r="A7877">
        <f>MOD(7877-1,101)</f>
        <v>99</v>
      </c>
    </row>
    <row r="7878">
      <c r="A7878">
        <f>MOD(7878-1,101)</f>
        <v>100</v>
      </c>
    </row>
    <row r="7879">
      <c r="A7879">
        <f>MOD(7879-1,101)</f>
        <v>0</v>
      </c>
    </row>
    <row r="7880">
      <c r="A7880">
        <f>MOD(7880-1,101)</f>
        <v>1</v>
      </c>
    </row>
    <row r="7881">
      <c r="A7881">
        <f>MOD(7881-1,101)</f>
        <v>2</v>
      </c>
    </row>
    <row r="7882">
      <c r="A7882">
        <f>MOD(7882-1,101)</f>
        <v>3</v>
      </c>
    </row>
    <row r="7883">
      <c r="A7883">
        <f>MOD(7883-1,101)</f>
        <v>4</v>
      </c>
    </row>
    <row r="7884">
      <c r="A7884">
        <f>MOD(7884-1,101)</f>
        <v>5</v>
      </c>
    </row>
    <row r="7885">
      <c r="A7885">
        <f>MOD(7885-1,101)</f>
        <v>6</v>
      </c>
    </row>
    <row r="7886">
      <c r="A7886">
        <f>MOD(7886-1,101)</f>
        <v>7</v>
      </c>
    </row>
    <row r="7887">
      <c r="A7887">
        <f>MOD(7887-1,101)</f>
        <v>8</v>
      </c>
    </row>
    <row r="7888">
      <c r="A7888">
        <f>MOD(7888-1,101)</f>
        <v>9</v>
      </c>
    </row>
    <row r="7889">
      <c r="A7889">
        <f>MOD(7889-1,101)</f>
        <v>10</v>
      </c>
    </row>
    <row r="7890">
      <c r="A7890">
        <f>MOD(7890-1,101)</f>
        <v>11</v>
      </c>
    </row>
    <row r="7891">
      <c r="A7891">
        <f>MOD(7891-1,101)</f>
        <v>12</v>
      </c>
    </row>
    <row r="7892">
      <c r="A7892">
        <f>MOD(7892-1,101)</f>
        <v>13</v>
      </c>
    </row>
    <row r="7893">
      <c r="A7893">
        <f>MOD(7893-1,101)</f>
        <v>14</v>
      </c>
    </row>
    <row r="7894">
      <c r="A7894">
        <f>MOD(7894-1,101)</f>
        <v>15</v>
      </c>
    </row>
    <row r="7895">
      <c r="A7895">
        <f>MOD(7895-1,101)</f>
        <v>16</v>
      </c>
    </row>
    <row r="7896">
      <c r="A7896">
        <f>MOD(7896-1,101)</f>
        <v>17</v>
      </c>
    </row>
    <row r="7897">
      <c r="A7897">
        <f>MOD(7897-1,101)</f>
        <v>18</v>
      </c>
    </row>
    <row r="7898">
      <c r="A7898">
        <f>MOD(7898-1,101)</f>
        <v>19</v>
      </c>
    </row>
    <row r="7899">
      <c r="A7899">
        <f>MOD(7899-1,101)</f>
        <v>20</v>
      </c>
    </row>
    <row r="7900">
      <c r="A7900">
        <f>MOD(7900-1,101)</f>
        <v>21</v>
      </c>
    </row>
    <row r="7901">
      <c r="A7901">
        <f>MOD(7901-1,101)</f>
        <v>22</v>
      </c>
    </row>
    <row r="7902">
      <c r="A7902">
        <f>MOD(7902-1,101)</f>
        <v>23</v>
      </c>
    </row>
    <row r="7903">
      <c r="A7903">
        <f>MOD(7903-1,101)</f>
        <v>24</v>
      </c>
    </row>
    <row r="7904">
      <c r="A7904">
        <f>MOD(7904-1,101)</f>
        <v>25</v>
      </c>
    </row>
    <row r="7905">
      <c r="A7905">
        <f>MOD(7905-1,101)</f>
        <v>26</v>
      </c>
    </row>
    <row r="7906">
      <c r="A7906">
        <f>MOD(7906-1,101)</f>
        <v>27</v>
      </c>
    </row>
    <row r="7907">
      <c r="A7907">
        <f>MOD(7907-1,101)</f>
        <v>28</v>
      </c>
    </row>
    <row r="7908">
      <c r="A7908">
        <f>MOD(7908-1,101)</f>
        <v>29</v>
      </c>
    </row>
    <row r="7909">
      <c r="A7909">
        <f>MOD(7909-1,101)</f>
        <v>30</v>
      </c>
    </row>
    <row r="7910">
      <c r="A7910">
        <f>MOD(7910-1,101)</f>
        <v>31</v>
      </c>
    </row>
    <row r="7911">
      <c r="A7911">
        <f>MOD(7911-1,101)</f>
        <v>32</v>
      </c>
    </row>
    <row r="7912">
      <c r="A7912">
        <f>MOD(7912-1,101)</f>
        <v>33</v>
      </c>
    </row>
    <row r="7913">
      <c r="A7913">
        <f>MOD(7913-1,101)</f>
        <v>34</v>
      </c>
    </row>
    <row r="7914">
      <c r="A7914">
        <f>MOD(7914-1,101)</f>
        <v>35</v>
      </c>
    </row>
    <row r="7915">
      <c r="A7915">
        <f>MOD(7915-1,101)</f>
        <v>36</v>
      </c>
    </row>
    <row r="7916">
      <c r="A7916">
        <f>MOD(7916-1,101)</f>
        <v>37</v>
      </c>
    </row>
    <row r="7917">
      <c r="A7917">
        <f>MOD(7917-1,101)</f>
        <v>38</v>
      </c>
    </row>
    <row r="7918">
      <c r="A7918">
        <f>MOD(7918-1,101)</f>
        <v>39</v>
      </c>
    </row>
    <row r="7919">
      <c r="A7919">
        <f>MOD(7919-1,101)</f>
        <v>40</v>
      </c>
    </row>
    <row r="7920">
      <c r="A7920">
        <f>MOD(7920-1,101)</f>
        <v>41</v>
      </c>
    </row>
    <row r="7921">
      <c r="A7921">
        <f>MOD(7921-1,101)</f>
        <v>42</v>
      </c>
    </row>
    <row r="7922">
      <c r="A7922">
        <f>MOD(7922-1,101)</f>
        <v>43</v>
      </c>
    </row>
    <row r="7923">
      <c r="A7923">
        <f>MOD(7923-1,101)</f>
        <v>44</v>
      </c>
    </row>
    <row r="7924">
      <c r="A7924">
        <f>MOD(7924-1,101)</f>
        <v>45</v>
      </c>
    </row>
    <row r="7925">
      <c r="A7925">
        <f>MOD(7925-1,101)</f>
        <v>46</v>
      </c>
    </row>
    <row r="7926">
      <c r="A7926">
        <f>MOD(7926-1,101)</f>
        <v>47</v>
      </c>
    </row>
    <row r="7927">
      <c r="A7927">
        <f>MOD(7927-1,101)</f>
        <v>48</v>
      </c>
    </row>
    <row r="7928">
      <c r="A7928">
        <f>MOD(7928-1,101)</f>
        <v>49</v>
      </c>
    </row>
    <row r="7929">
      <c r="A7929">
        <f>MOD(7929-1,101)</f>
        <v>50</v>
      </c>
    </row>
    <row r="7930">
      <c r="A7930">
        <f>MOD(7930-1,101)</f>
        <v>51</v>
      </c>
    </row>
    <row r="7931">
      <c r="A7931">
        <f>MOD(7931-1,101)</f>
        <v>52</v>
      </c>
    </row>
    <row r="7932">
      <c r="A7932">
        <f>MOD(7932-1,101)</f>
        <v>53</v>
      </c>
    </row>
    <row r="7933">
      <c r="A7933">
        <f>MOD(7933-1,101)</f>
        <v>54</v>
      </c>
    </row>
    <row r="7934">
      <c r="A7934">
        <f>MOD(7934-1,101)</f>
        <v>55</v>
      </c>
    </row>
    <row r="7935">
      <c r="A7935">
        <f>MOD(7935-1,101)</f>
        <v>56</v>
      </c>
    </row>
    <row r="7936">
      <c r="A7936">
        <f>MOD(7936-1,101)</f>
        <v>57</v>
      </c>
    </row>
    <row r="7937">
      <c r="A7937">
        <f>MOD(7937-1,101)</f>
        <v>58</v>
      </c>
    </row>
    <row r="7938">
      <c r="A7938">
        <f>MOD(7938-1,101)</f>
        <v>59</v>
      </c>
    </row>
    <row r="7939">
      <c r="A7939">
        <f>MOD(7939-1,101)</f>
        <v>60</v>
      </c>
    </row>
    <row r="7940">
      <c r="A7940">
        <f>MOD(7940-1,101)</f>
        <v>61</v>
      </c>
    </row>
    <row r="7941">
      <c r="A7941">
        <f>MOD(7941-1,101)</f>
        <v>62</v>
      </c>
    </row>
    <row r="7942">
      <c r="A7942">
        <f>MOD(7942-1,101)</f>
        <v>63</v>
      </c>
    </row>
    <row r="7943">
      <c r="A7943">
        <f>MOD(7943-1,101)</f>
        <v>64</v>
      </c>
    </row>
    <row r="7944">
      <c r="A7944">
        <f>MOD(7944-1,101)</f>
        <v>65</v>
      </c>
    </row>
    <row r="7945">
      <c r="A7945">
        <f>MOD(7945-1,101)</f>
        <v>66</v>
      </c>
    </row>
    <row r="7946">
      <c r="A7946">
        <f>MOD(7946-1,101)</f>
        <v>67</v>
      </c>
    </row>
    <row r="7947">
      <c r="A7947">
        <f>MOD(7947-1,101)</f>
        <v>68</v>
      </c>
    </row>
    <row r="7948">
      <c r="A7948">
        <f>MOD(7948-1,101)</f>
        <v>69</v>
      </c>
    </row>
    <row r="7949">
      <c r="A7949">
        <f>MOD(7949-1,101)</f>
        <v>70</v>
      </c>
    </row>
    <row r="7950">
      <c r="A7950">
        <f>MOD(7950-1,101)</f>
        <v>71</v>
      </c>
    </row>
    <row r="7951">
      <c r="A7951">
        <f>MOD(7951-1,101)</f>
        <v>72</v>
      </c>
    </row>
    <row r="7952">
      <c r="A7952">
        <f>MOD(7952-1,101)</f>
        <v>73</v>
      </c>
    </row>
    <row r="7953">
      <c r="A7953">
        <f>MOD(7953-1,101)</f>
        <v>74</v>
      </c>
    </row>
    <row r="7954">
      <c r="A7954">
        <f>MOD(7954-1,101)</f>
        <v>75</v>
      </c>
    </row>
    <row r="7955">
      <c r="A7955">
        <f>MOD(7955-1,101)</f>
        <v>76</v>
      </c>
    </row>
    <row r="7956">
      <c r="A7956">
        <f>MOD(7956-1,101)</f>
        <v>77</v>
      </c>
    </row>
    <row r="7957">
      <c r="A7957">
        <f>MOD(7957-1,101)</f>
        <v>78</v>
      </c>
    </row>
    <row r="7958">
      <c r="A7958">
        <f>MOD(7958-1,101)</f>
        <v>79</v>
      </c>
    </row>
    <row r="7959">
      <c r="A7959">
        <f>MOD(7959-1,101)</f>
        <v>80</v>
      </c>
    </row>
    <row r="7960">
      <c r="A7960">
        <f>MOD(7960-1,101)</f>
        <v>81</v>
      </c>
    </row>
    <row r="7961">
      <c r="A7961">
        <f>MOD(7961-1,101)</f>
        <v>82</v>
      </c>
    </row>
    <row r="7962">
      <c r="A7962">
        <f>MOD(7962-1,101)</f>
        <v>83</v>
      </c>
    </row>
    <row r="7963">
      <c r="A7963">
        <f>MOD(7963-1,101)</f>
        <v>84</v>
      </c>
    </row>
    <row r="7964">
      <c r="A7964">
        <f>MOD(7964-1,101)</f>
        <v>85</v>
      </c>
    </row>
    <row r="7965">
      <c r="A7965">
        <f>MOD(7965-1,101)</f>
        <v>86</v>
      </c>
    </row>
    <row r="7966">
      <c r="A7966">
        <f>MOD(7966-1,101)</f>
        <v>87</v>
      </c>
    </row>
    <row r="7967">
      <c r="A7967">
        <f>MOD(7967-1,101)</f>
        <v>88</v>
      </c>
    </row>
    <row r="7968">
      <c r="A7968">
        <f>MOD(7968-1,101)</f>
        <v>89</v>
      </c>
    </row>
    <row r="7969">
      <c r="A7969">
        <f>MOD(7969-1,101)</f>
        <v>90</v>
      </c>
    </row>
    <row r="7970">
      <c r="A7970">
        <f>MOD(7970-1,101)</f>
        <v>91</v>
      </c>
    </row>
    <row r="7971">
      <c r="A7971">
        <f>MOD(7971-1,101)</f>
        <v>92</v>
      </c>
    </row>
    <row r="7972">
      <c r="A7972">
        <f>MOD(7972-1,101)</f>
        <v>93</v>
      </c>
    </row>
    <row r="7973">
      <c r="A7973">
        <f>MOD(7973-1,101)</f>
        <v>94</v>
      </c>
    </row>
    <row r="7974">
      <c r="A7974">
        <f>MOD(7974-1,101)</f>
        <v>95</v>
      </c>
    </row>
    <row r="7975">
      <c r="A7975">
        <f>MOD(7975-1,101)</f>
        <v>96</v>
      </c>
    </row>
    <row r="7976">
      <c r="A7976">
        <f>MOD(7976-1,101)</f>
        <v>97</v>
      </c>
    </row>
    <row r="7977">
      <c r="A7977">
        <f>MOD(7977-1,101)</f>
        <v>98</v>
      </c>
    </row>
    <row r="7978">
      <c r="A7978">
        <f>MOD(7978-1,101)</f>
        <v>99</v>
      </c>
    </row>
    <row r="7979">
      <c r="A7979">
        <f>MOD(7979-1,101)</f>
        <v>100</v>
      </c>
    </row>
    <row r="7980">
      <c r="A7980">
        <f>MOD(7980-1,101)</f>
        <v>0</v>
      </c>
    </row>
    <row r="7981">
      <c r="A7981">
        <f>MOD(7981-1,101)</f>
        <v>1</v>
      </c>
    </row>
    <row r="7982">
      <c r="A7982">
        <f>MOD(7982-1,101)</f>
        <v>2</v>
      </c>
    </row>
    <row r="7983">
      <c r="A7983">
        <f>MOD(7983-1,101)</f>
        <v>3</v>
      </c>
    </row>
    <row r="7984">
      <c r="A7984">
        <f>MOD(7984-1,101)</f>
        <v>4</v>
      </c>
    </row>
    <row r="7985">
      <c r="A7985">
        <f>MOD(7985-1,101)</f>
        <v>5</v>
      </c>
    </row>
    <row r="7986">
      <c r="A7986">
        <f>MOD(7986-1,101)</f>
        <v>6</v>
      </c>
    </row>
    <row r="7987">
      <c r="A7987">
        <f>MOD(7987-1,101)</f>
        <v>7</v>
      </c>
    </row>
    <row r="7988">
      <c r="A7988">
        <f>MOD(7988-1,101)</f>
        <v>8</v>
      </c>
    </row>
    <row r="7989">
      <c r="A7989">
        <f>MOD(7989-1,101)</f>
        <v>9</v>
      </c>
    </row>
    <row r="7990">
      <c r="A7990">
        <f>MOD(7990-1,101)</f>
        <v>10</v>
      </c>
    </row>
    <row r="7991">
      <c r="A7991">
        <f>MOD(7991-1,101)</f>
        <v>11</v>
      </c>
    </row>
    <row r="7992">
      <c r="A7992">
        <f>MOD(7992-1,101)</f>
        <v>12</v>
      </c>
    </row>
    <row r="7993">
      <c r="A7993">
        <f>MOD(7993-1,101)</f>
        <v>13</v>
      </c>
    </row>
    <row r="7994">
      <c r="A7994">
        <f>MOD(7994-1,101)</f>
        <v>14</v>
      </c>
    </row>
    <row r="7995">
      <c r="A7995">
        <f>MOD(7995-1,101)</f>
        <v>15</v>
      </c>
    </row>
    <row r="7996">
      <c r="A7996">
        <f>MOD(7996-1,101)</f>
        <v>16</v>
      </c>
    </row>
    <row r="7997">
      <c r="A7997">
        <f>MOD(7997-1,101)</f>
        <v>17</v>
      </c>
    </row>
    <row r="7998">
      <c r="A7998">
        <f>MOD(7998-1,101)</f>
        <v>18</v>
      </c>
    </row>
    <row r="7999">
      <c r="A7999">
        <f>MOD(7999-1,101)</f>
        <v>19</v>
      </c>
    </row>
    <row r="8000">
      <c r="A8000">
        <f>MOD(8000-1,101)</f>
        <v>20</v>
      </c>
    </row>
    <row r="8001">
      <c r="A8001">
        <f>MOD(8001-1,101)</f>
        <v>21</v>
      </c>
    </row>
    <row r="8002">
      <c r="A8002">
        <f>MOD(8002-1,101)</f>
        <v>22</v>
      </c>
    </row>
    <row r="8003">
      <c r="A8003">
        <f>MOD(8003-1,101)</f>
        <v>23</v>
      </c>
    </row>
    <row r="8004">
      <c r="A8004">
        <f>MOD(8004-1,101)</f>
        <v>24</v>
      </c>
    </row>
    <row r="8005">
      <c r="A8005">
        <f>MOD(8005-1,101)</f>
        <v>25</v>
      </c>
    </row>
    <row r="8006">
      <c r="A8006">
        <f>MOD(8006-1,101)</f>
        <v>26</v>
      </c>
    </row>
    <row r="8007">
      <c r="A8007">
        <f>MOD(8007-1,101)</f>
        <v>27</v>
      </c>
    </row>
    <row r="8008">
      <c r="A8008">
        <f>MOD(8008-1,101)</f>
        <v>28</v>
      </c>
    </row>
    <row r="8009">
      <c r="A8009">
        <f>MOD(8009-1,101)</f>
        <v>29</v>
      </c>
    </row>
    <row r="8010">
      <c r="A8010">
        <f>MOD(8010-1,101)</f>
        <v>30</v>
      </c>
    </row>
    <row r="8011">
      <c r="A8011">
        <f>MOD(8011-1,101)</f>
        <v>31</v>
      </c>
    </row>
    <row r="8012">
      <c r="A8012">
        <f>MOD(8012-1,101)</f>
        <v>32</v>
      </c>
    </row>
    <row r="8013">
      <c r="A8013">
        <f>MOD(8013-1,101)</f>
        <v>33</v>
      </c>
    </row>
    <row r="8014">
      <c r="A8014">
        <f>MOD(8014-1,101)</f>
        <v>34</v>
      </c>
    </row>
    <row r="8015">
      <c r="A8015">
        <f>MOD(8015-1,101)</f>
        <v>35</v>
      </c>
    </row>
    <row r="8016">
      <c r="A8016">
        <f>MOD(8016-1,101)</f>
        <v>36</v>
      </c>
    </row>
    <row r="8017">
      <c r="A8017">
        <f>MOD(8017-1,101)</f>
        <v>37</v>
      </c>
    </row>
    <row r="8018">
      <c r="A8018">
        <f>MOD(8018-1,101)</f>
        <v>38</v>
      </c>
    </row>
    <row r="8019">
      <c r="A8019">
        <f>MOD(8019-1,101)</f>
        <v>39</v>
      </c>
    </row>
    <row r="8020">
      <c r="A8020">
        <f>MOD(8020-1,101)</f>
        <v>40</v>
      </c>
    </row>
    <row r="8021">
      <c r="A8021">
        <f>MOD(8021-1,101)</f>
        <v>41</v>
      </c>
    </row>
    <row r="8022">
      <c r="A8022">
        <f>MOD(8022-1,101)</f>
        <v>42</v>
      </c>
    </row>
    <row r="8023">
      <c r="A8023">
        <f>MOD(8023-1,101)</f>
        <v>43</v>
      </c>
    </row>
    <row r="8024">
      <c r="A8024">
        <f>MOD(8024-1,101)</f>
        <v>44</v>
      </c>
    </row>
    <row r="8025">
      <c r="A8025">
        <f>MOD(8025-1,101)</f>
        <v>45</v>
      </c>
    </row>
    <row r="8026">
      <c r="A8026">
        <f>MOD(8026-1,101)</f>
        <v>46</v>
      </c>
    </row>
    <row r="8027">
      <c r="A8027">
        <f>MOD(8027-1,101)</f>
        <v>47</v>
      </c>
    </row>
    <row r="8028">
      <c r="A8028">
        <f>MOD(8028-1,101)</f>
        <v>48</v>
      </c>
    </row>
    <row r="8029">
      <c r="A8029">
        <f>MOD(8029-1,101)</f>
        <v>49</v>
      </c>
    </row>
    <row r="8030">
      <c r="A8030">
        <f>MOD(8030-1,101)</f>
        <v>50</v>
      </c>
    </row>
    <row r="8031">
      <c r="A8031">
        <f>MOD(8031-1,101)</f>
        <v>51</v>
      </c>
    </row>
    <row r="8032">
      <c r="A8032">
        <f>MOD(8032-1,101)</f>
        <v>52</v>
      </c>
    </row>
    <row r="8033">
      <c r="A8033">
        <f>MOD(8033-1,101)</f>
        <v>53</v>
      </c>
    </row>
    <row r="8034">
      <c r="A8034">
        <f>MOD(8034-1,101)</f>
        <v>54</v>
      </c>
    </row>
    <row r="8035">
      <c r="A8035">
        <f>MOD(8035-1,101)</f>
        <v>55</v>
      </c>
    </row>
    <row r="8036">
      <c r="A8036">
        <f>MOD(8036-1,101)</f>
        <v>56</v>
      </c>
    </row>
    <row r="8037">
      <c r="A8037">
        <f>MOD(8037-1,101)</f>
        <v>57</v>
      </c>
    </row>
    <row r="8038">
      <c r="A8038">
        <f>MOD(8038-1,101)</f>
        <v>58</v>
      </c>
    </row>
    <row r="8039">
      <c r="A8039">
        <f>MOD(8039-1,101)</f>
        <v>59</v>
      </c>
    </row>
    <row r="8040">
      <c r="A8040">
        <f>MOD(8040-1,101)</f>
        <v>60</v>
      </c>
    </row>
    <row r="8041">
      <c r="A8041">
        <f>MOD(8041-1,101)</f>
        <v>61</v>
      </c>
    </row>
    <row r="8042">
      <c r="A8042">
        <f>MOD(8042-1,101)</f>
        <v>62</v>
      </c>
    </row>
    <row r="8043">
      <c r="A8043">
        <f>MOD(8043-1,101)</f>
        <v>63</v>
      </c>
    </row>
    <row r="8044">
      <c r="A8044">
        <f>MOD(8044-1,101)</f>
        <v>64</v>
      </c>
    </row>
    <row r="8045">
      <c r="A8045">
        <f>MOD(8045-1,101)</f>
        <v>65</v>
      </c>
    </row>
    <row r="8046">
      <c r="A8046">
        <f>MOD(8046-1,101)</f>
        <v>66</v>
      </c>
    </row>
    <row r="8047">
      <c r="A8047">
        <f>MOD(8047-1,101)</f>
        <v>67</v>
      </c>
    </row>
    <row r="8048">
      <c r="A8048">
        <f>MOD(8048-1,101)</f>
        <v>68</v>
      </c>
    </row>
    <row r="8049">
      <c r="A8049">
        <f>MOD(8049-1,101)</f>
        <v>69</v>
      </c>
    </row>
    <row r="8050">
      <c r="A8050">
        <f>MOD(8050-1,101)</f>
        <v>70</v>
      </c>
    </row>
    <row r="8051">
      <c r="A8051">
        <f>MOD(8051-1,101)</f>
        <v>71</v>
      </c>
    </row>
    <row r="8052">
      <c r="A8052">
        <f>MOD(8052-1,101)</f>
        <v>72</v>
      </c>
    </row>
    <row r="8053">
      <c r="A8053">
        <f>MOD(8053-1,101)</f>
        <v>73</v>
      </c>
    </row>
    <row r="8054">
      <c r="A8054">
        <f>MOD(8054-1,101)</f>
        <v>74</v>
      </c>
    </row>
    <row r="8055">
      <c r="A8055">
        <f>MOD(8055-1,101)</f>
        <v>75</v>
      </c>
    </row>
    <row r="8056">
      <c r="A8056">
        <f>MOD(8056-1,101)</f>
        <v>76</v>
      </c>
    </row>
    <row r="8057">
      <c r="A8057">
        <f>MOD(8057-1,101)</f>
        <v>77</v>
      </c>
    </row>
    <row r="8058">
      <c r="A8058">
        <f>MOD(8058-1,101)</f>
        <v>78</v>
      </c>
    </row>
    <row r="8059">
      <c r="A8059">
        <f>MOD(8059-1,101)</f>
        <v>79</v>
      </c>
    </row>
    <row r="8060">
      <c r="A8060">
        <f>MOD(8060-1,101)</f>
        <v>80</v>
      </c>
    </row>
    <row r="8061">
      <c r="A8061">
        <f>MOD(8061-1,101)</f>
        <v>81</v>
      </c>
    </row>
    <row r="8062">
      <c r="A8062">
        <f>MOD(8062-1,101)</f>
        <v>82</v>
      </c>
    </row>
    <row r="8063">
      <c r="A8063">
        <f>MOD(8063-1,101)</f>
        <v>83</v>
      </c>
    </row>
    <row r="8064">
      <c r="A8064">
        <f>MOD(8064-1,101)</f>
        <v>84</v>
      </c>
    </row>
    <row r="8065">
      <c r="A8065">
        <f>MOD(8065-1,101)</f>
        <v>85</v>
      </c>
    </row>
    <row r="8066">
      <c r="A8066">
        <f>MOD(8066-1,101)</f>
        <v>86</v>
      </c>
    </row>
    <row r="8067">
      <c r="A8067">
        <f>MOD(8067-1,101)</f>
        <v>87</v>
      </c>
    </row>
    <row r="8068">
      <c r="A8068">
        <f>MOD(8068-1,101)</f>
        <v>88</v>
      </c>
    </row>
    <row r="8069">
      <c r="A8069">
        <f>MOD(8069-1,101)</f>
        <v>89</v>
      </c>
    </row>
    <row r="8070">
      <c r="A8070">
        <f>MOD(8070-1,101)</f>
        <v>90</v>
      </c>
    </row>
    <row r="8071">
      <c r="A8071">
        <f>MOD(8071-1,101)</f>
        <v>91</v>
      </c>
    </row>
    <row r="8072">
      <c r="A8072">
        <f>MOD(8072-1,101)</f>
        <v>92</v>
      </c>
    </row>
    <row r="8073">
      <c r="A8073">
        <f>MOD(8073-1,101)</f>
        <v>93</v>
      </c>
    </row>
    <row r="8074">
      <c r="A8074">
        <f>MOD(8074-1,101)</f>
        <v>94</v>
      </c>
    </row>
    <row r="8075">
      <c r="A8075">
        <f>MOD(8075-1,101)</f>
        <v>95</v>
      </c>
    </row>
    <row r="8076">
      <c r="A8076">
        <f>MOD(8076-1,101)</f>
        <v>96</v>
      </c>
    </row>
    <row r="8077">
      <c r="A8077">
        <f>MOD(8077-1,101)</f>
        <v>97</v>
      </c>
    </row>
    <row r="8078">
      <c r="A8078">
        <f>MOD(8078-1,101)</f>
        <v>98</v>
      </c>
    </row>
    <row r="8079">
      <c r="A8079">
        <f>MOD(8079-1,101)</f>
        <v>99</v>
      </c>
    </row>
    <row r="8080">
      <c r="A8080">
        <f>MOD(8080-1,101)</f>
        <v>100</v>
      </c>
    </row>
    <row r="8081">
      <c r="A8081">
        <f>MOD(8081-1,101)</f>
        <v>0</v>
      </c>
    </row>
    <row r="8082">
      <c r="A8082">
        <f>MOD(8082-1,101)</f>
        <v>1</v>
      </c>
    </row>
    <row r="8083">
      <c r="A8083">
        <f>MOD(8083-1,101)</f>
        <v>2</v>
      </c>
    </row>
    <row r="8084">
      <c r="A8084">
        <f>MOD(8084-1,101)</f>
        <v>3</v>
      </c>
    </row>
    <row r="8085">
      <c r="A8085">
        <f>MOD(8085-1,101)</f>
        <v>4</v>
      </c>
    </row>
    <row r="8086">
      <c r="A8086">
        <f>MOD(8086-1,101)</f>
        <v>5</v>
      </c>
    </row>
    <row r="8087">
      <c r="A8087">
        <f>MOD(8087-1,101)</f>
        <v>6</v>
      </c>
    </row>
    <row r="8088">
      <c r="A8088">
        <f>MOD(8088-1,101)</f>
        <v>7</v>
      </c>
    </row>
    <row r="8089">
      <c r="A8089">
        <f>MOD(8089-1,101)</f>
        <v>8</v>
      </c>
    </row>
    <row r="8090">
      <c r="A8090">
        <f>MOD(8090-1,101)</f>
        <v>9</v>
      </c>
    </row>
    <row r="8091">
      <c r="A8091">
        <f>MOD(8091-1,101)</f>
        <v>10</v>
      </c>
    </row>
    <row r="8092">
      <c r="A8092">
        <f>MOD(8092-1,101)</f>
        <v>11</v>
      </c>
    </row>
    <row r="8093">
      <c r="A8093">
        <f>MOD(8093-1,101)</f>
        <v>12</v>
      </c>
    </row>
    <row r="8094">
      <c r="A8094">
        <f>MOD(8094-1,101)</f>
        <v>13</v>
      </c>
    </row>
    <row r="8095">
      <c r="A8095">
        <f>MOD(8095-1,101)</f>
        <v>14</v>
      </c>
    </row>
    <row r="8096">
      <c r="A8096">
        <f>MOD(8096-1,101)</f>
        <v>15</v>
      </c>
    </row>
    <row r="8097">
      <c r="A8097">
        <f>MOD(8097-1,101)</f>
        <v>16</v>
      </c>
    </row>
    <row r="8098">
      <c r="A8098">
        <f>MOD(8098-1,101)</f>
        <v>17</v>
      </c>
    </row>
    <row r="8099">
      <c r="A8099">
        <f>MOD(8099-1,101)</f>
        <v>18</v>
      </c>
    </row>
    <row r="8100">
      <c r="A8100">
        <f>MOD(8100-1,101)</f>
        <v>19</v>
      </c>
    </row>
    <row r="8101">
      <c r="A8101">
        <f>MOD(8101-1,101)</f>
        <v>20</v>
      </c>
    </row>
    <row r="8102">
      <c r="A8102">
        <f>MOD(8102-1,101)</f>
        <v>21</v>
      </c>
    </row>
    <row r="8103">
      <c r="A8103">
        <f>MOD(8103-1,101)</f>
        <v>22</v>
      </c>
    </row>
    <row r="8104">
      <c r="A8104">
        <f>MOD(8104-1,101)</f>
        <v>23</v>
      </c>
    </row>
    <row r="8105">
      <c r="A8105">
        <f>MOD(8105-1,101)</f>
        <v>24</v>
      </c>
    </row>
    <row r="8106">
      <c r="A8106">
        <f>MOD(8106-1,101)</f>
        <v>25</v>
      </c>
    </row>
    <row r="8107">
      <c r="A8107">
        <f>MOD(8107-1,101)</f>
        <v>26</v>
      </c>
    </row>
    <row r="8108">
      <c r="A8108">
        <f>MOD(8108-1,101)</f>
        <v>27</v>
      </c>
    </row>
    <row r="8109">
      <c r="A8109">
        <f>MOD(8109-1,101)</f>
        <v>28</v>
      </c>
    </row>
    <row r="8110">
      <c r="A8110">
        <f>MOD(8110-1,101)</f>
        <v>29</v>
      </c>
    </row>
    <row r="8111">
      <c r="A8111">
        <f>MOD(8111-1,101)</f>
        <v>30</v>
      </c>
    </row>
    <row r="8112">
      <c r="A8112">
        <f>MOD(8112-1,101)</f>
        <v>31</v>
      </c>
    </row>
    <row r="8113">
      <c r="A8113">
        <f>MOD(8113-1,101)</f>
        <v>32</v>
      </c>
    </row>
    <row r="8114">
      <c r="A8114">
        <f>MOD(8114-1,101)</f>
        <v>33</v>
      </c>
    </row>
    <row r="8115">
      <c r="A8115">
        <f>MOD(8115-1,101)</f>
        <v>34</v>
      </c>
    </row>
    <row r="8116">
      <c r="A8116">
        <f>MOD(8116-1,101)</f>
        <v>35</v>
      </c>
    </row>
    <row r="8117">
      <c r="A8117">
        <f>MOD(8117-1,101)</f>
        <v>36</v>
      </c>
    </row>
    <row r="8118">
      <c r="A8118">
        <f>MOD(8118-1,101)</f>
        <v>37</v>
      </c>
    </row>
    <row r="8119">
      <c r="A8119">
        <f>MOD(8119-1,101)</f>
        <v>38</v>
      </c>
    </row>
    <row r="8120">
      <c r="A8120">
        <f>MOD(8120-1,101)</f>
        <v>39</v>
      </c>
    </row>
    <row r="8121">
      <c r="A8121">
        <f>MOD(8121-1,101)</f>
        <v>40</v>
      </c>
    </row>
    <row r="8122">
      <c r="A8122">
        <f>MOD(8122-1,101)</f>
        <v>41</v>
      </c>
    </row>
    <row r="8123">
      <c r="A8123">
        <f>MOD(8123-1,101)</f>
        <v>42</v>
      </c>
    </row>
    <row r="8124">
      <c r="A8124">
        <f>MOD(8124-1,101)</f>
        <v>43</v>
      </c>
    </row>
    <row r="8125">
      <c r="A8125">
        <f>MOD(8125-1,101)</f>
        <v>44</v>
      </c>
    </row>
    <row r="8126">
      <c r="A8126">
        <f>MOD(8126-1,101)</f>
        <v>45</v>
      </c>
    </row>
    <row r="8127">
      <c r="A8127">
        <f>MOD(8127-1,101)</f>
        <v>46</v>
      </c>
    </row>
    <row r="8128">
      <c r="A8128">
        <f>MOD(8128-1,101)</f>
        <v>47</v>
      </c>
    </row>
    <row r="8129">
      <c r="A8129">
        <f>MOD(8129-1,101)</f>
        <v>48</v>
      </c>
    </row>
    <row r="8130">
      <c r="A8130">
        <f>MOD(8130-1,101)</f>
        <v>49</v>
      </c>
    </row>
    <row r="8131">
      <c r="A8131">
        <f>MOD(8131-1,101)</f>
        <v>50</v>
      </c>
    </row>
    <row r="8132">
      <c r="A8132">
        <f>MOD(8132-1,101)</f>
        <v>51</v>
      </c>
    </row>
    <row r="8133">
      <c r="A8133">
        <f>MOD(8133-1,101)</f>
        <v>52</v>
      </c>
    </row>
    <row r="8134">
      <c r="A8134">
        <f>MOD(8134-1,101)</f>
        <v>53</v>
      </c>
    </row>
    <row r="8135">
      <c r="A8135">
        <f>MOD(8135-1,101)</f>
        <v>54</v>
      </c>
    </row>
    <row r="8136">
      <c r="A8136">
        <f>MOD(8136-1,101)</f>
        <v>55</v>
      </c>
    </row>
    <row r="8137">
      <c r="A8137">
        <f>MOD(8137-1,101)</f>
        <v>56</v>
      </c>
    </row>
    <row r="8138">
      <c r="A8138">
        <f>MOD(8138-1,101)</f>
        <v>57</v>
      </c>
    </row>
    <row r="8139">
      <c r="A8139">
        <f>MOD(8139-1,101)</f>
        <v>58</v>
      </c>
    </row>
    <row r="8140">
      <c r="A8140">
        <f>MOD(8140-1,101)</f>
        <v>59</v>
      </c>
    </row>
    <row r="8141">
      <c r="A8141">
        <f>MOD(8141-1,101)</f>
        <v>60</v>
      </c>
    </row>
    <row r="8142">
      <c r="A8142">
        <f>MOD(8142-1,101)</f>
        <v>61</v>
      </c>
    </row>
    <row r="8143">
      <c r="A8143">
        <f>MOD(8143-1,101)</f>
        <v>62</v>
      </c>
    </row>
    <row r="8144">
      <c r="A8144">
        <f>MOD(8144-1,101)</f>
        <v>63</v>
      </c>
    </row>
    <row r="8145">
      <c r="A8145">
        <f>MOD(8145-1,101)</f>
        <v>64</v>
      </c>
    </row>
    <row r="8146">
      <c r="A8146">
        <f>MOD(8146-1,101)</f>
        <v>65</v>
      </c>
    </row>
    <row r="8147">
      <c r="A8147">
        <f>MOD(8147-1,101)</f>
        <v>66</v>
      </c>
    </row>
    <row r="8148">
      <c r="A8148">
        <f>MOD(8148-1,101)</f>
        <v>67</v>
      </c>
    </row>
    <row r="8149">
      <c r="A8149">
        <f>MOD(8149-1,101)</f>
        <v>68</v>
      </c>
    </row>
    <row r="8150">
      <c r="A8150">
        <f>MOD(8150-1,101)</f>
        <v>69</v>
      </c>
    </row>
    <row r="8151">
      <c r="A8151">
        <f>MOD(8151-1,101)</f>
        <v>70</v>
      </c>
    </row>
    <row r="8152">
      <c r="A8152">
        <f>MOD(8152-1,101)</f>
        <v>71</v>
      </c>
    </row>
    <row r="8153">
      <c r="A8153">
        <f>MOD(8153-1,101)</f>
        <v>72</v>
      </c>
    </row>
    <row r="8154">
      <c r="A8154">
        <f>MOD(8154-1,101)</f>
        <v>73</v>
      </c>
    </row>
    <row r="8155">
      <c r="A8155">
        <f>MOD(8155-1,101)</f>
        <v>74</v>
      </c>
    </row>
    <row r="8156">
      <c r="A8156">
        <f>MOD(8156-1,101)</f>
        <v>75</v>
      </c>
    </row>
    <row r="8157">
      <c r="A8157">
        <f>MOD(8157-1,101)</f>
        <v>76</v>
      </c>
    </row>
    <row r="8158">
      <c r="A8158">
        <f>MOD(8158-1,101)</f>
        <v>77</v>
      </c>
    </row>
    <row r="8159">
      <c r="A8159">
        <f>MOD(8159-1,101)</f>
        <v>78</v>
      </c>
    </row>
    <row r="8160">
      <c r="A8160">
        <f>MOD(8160-1,101)</f>
        <v>79</v>
      </c>
    </row>
    <row r="8161">
      <c r="A8161">
        <f>MOD(8161-1,101)</f>
        <v>80</v>
      </c>
    </row>
    <row r="8162">
      <c r="A8162">
        <f>MOD(8162-1,101)</f>
        <v>81</v>
      </c>
    </row>
    <row r="8163">
      <c r="A8163">
        <f>MOD(8163-1,101)</f>
        <v>82</v>
      </c>
    </row>
    <row r="8164">
      <c r="A8164">
        <f>MOD(8164-1,101)</f>
        <v>83</v>
      </c>
    </row>
    <row r="8165">
      <c r="A8165">
        <f>MOD(8165-1,101)</f>
        <v>84</v>
      </c>
    </row>
    <row r="8166">
      <c r="A8166">
        <f>MOD(8166-1,101)</f>
        <v>85</v>
      </c>
    </row>
    <row r="8167">
      <c r="A8167">
        <f>MOD(8167-1,101)</f>
        <v>86</v>
      </c>
    </row>
    <row r="8168">
      <c r="A8168">
        <f>MOD(8168-1,101)</f>
        <v>87</v>
      </c>
    </row>
    <row r="8169">
      <c r="A8169">
        <f>MOD(8169-1,101)</f>
        <v>88</v>
      </c>
    </row>
    <row r="8170">
      <c r="A8170">
        <f>MOD(8170-1,101)</f>
        <v>89</v>
      </c>
    </row>
    <row r="8171">
      <c r="A8171">
        <f>MOD(8171-1,101)</f>
        <v>90</v>
      </c>
    </row>
    <row r="8172">
      <c r="A8172">
        <f>MOD(8172-1,101)</f>
        <v>91</v>
      </c>
    </row>
    <row r="8173">
      <c r="A8173">
        <f>MOD(8173-1,101)</f>
        <v>92</v>
      </c>
    </row>
    <row r="8174">
      <c r="A8174">
        <f>MOD(8174-1,101)</f>
        <v>93</v>
      </c>
    </row>
    <row r="8175">
      <c r="A8175">
        <f>MOD(8175-1,101)</f>
        <v>94</v>
      </c>
    </row>
    <row r="8176">
      <c r="A8176">
        <f>MOD(8176-1,101)</f>
        <v>95</v>
      </c>
    </row>
    <row r="8177">
      <c r="A8177">
        <f>MOD(8177-1,101)</f>
        <v>96</v>
      </c>
    </row>
    <row r="8178">
      <c r="A8178">
        <f>MOD(8178-1,101)</f>
        <v>97</v>
      </c>
    </row>
    <row r="8179">
      <c r="A8179">
        <f>MOD(8179-1,101)</f>
        <v>98</v>
      </c>
    </row>
    <row r="8180">
      <c r="A8180">
        <f>MOD(8180-1,101)</f>
        <v>99</v>
      </c>
    </row>
    <row r="8181">
      <c r="A8181">
        <f>MOD(8181-1,101)</f>
        <v>100</v>
      </c>
    </row>
    <row r="8182">
      <c r="A8182">
        <f>MOD(8182-1,101)</f>
        <v>0</v>
      </c>
    </row>
    <row r="8183">
      <c r="A8183">
        <f>MOD(8183-1,101)</f>
        <v>1</v>
      </c>
    </row>
    <row r="8184">
      <c r="A8184">
        <f>MOD(8184-1,101)</f>
        <v>2</v>
      </c>
    </row>
    <row r="8185">
      <c r="A8185">
        <f>MOD(8185-1,101)</f>
        <v>3</v>
      </c>
    </row>
    <row r="8186">
      <c r="A8186">
        <f>MOD(8186-1,101)</f>
        <v>4</v>
      </c>
    </row>
    <row r="8187">
      <c r="A8187">
        <f>MOD(8187-1,101)</f>
        <v>5</v>
      </c>
    </row>
    <row r="8188">
      <c r="A8188">
        <f>MOD(8188-1,101)</f>
        <v>6</v>
      </c>
    </row>
    <row r="8189">
      <c r="A8189">
        <f>MOD(8189-1,101)</f>
        <v>7</v>
      </c>
    </row>
    <row r="8190">
      <c r="A8190">
        <f>MOD(8190-1,101)</f>
        <v>8</v>
      </c>
    </row>
    <row r="8191">
      <c r="A8191">
        <f>MOD(8191-1,101)</f>
        <v>9</v>
      </c>
    </row>
    <row r="8192">
      <c r="A8192">
        <f>MOD(8192-1,101)</f>
        <v>10</v>
      </c>
    </row>
    <row r="8193">
      <c r="A8193">
        <f>MOD(8193-1,101)</f>
        <v>11</v>
      </c>
    </row>
    <row r="8194">
      <c r="A8194">
        <f>MOD(8194-1,101)</f>
        <v>12</v>
      </c>
    </row>
    <row r="8195">
      <c r="A8195">
        <f>MOD(8195-1,101)</f>
        <v>13</v>
      </c>
    </row>
    <row r="8196">
      <c r="A8196">
        <f>MOD(8196-1,101)</f>
        <v>14</v>
      </c>
    </row>
    <row r="8197">
      <c r="A8197">
        <f>MOD(8197-1,101)</f>
        <v>15</v>
      </c>
    </row>
    <row r="8198">
      <c r="A8198">
        <f>MOD(8198-1,101)</f>
        <v>16</v>
      </c>
    </row>
    <row r="8199">
      <c r="A8199">
        <f>MOD(8199-1,101)</f>
        <v>17</v>
      </c>
    </row>
    <row r="8200">
      <c r="A8200">
        <f>MOD(8200-1,101)</f>
        <v>18</v>
      </c>
    </row>
    <row r="8201">
      <c r="A8201">
        <f>MOD(8201-1,101)</f>
        <v>19</v>
      </c>
    </row>
    <row r="8202">
      <c r="A8202">
        <f>MOD(8202-1,101)</f>
        <v>20</v>
      </c>
    </row>
    <row r="8203">
      <c r="A8203">
        <f>MOD(8203-1,101)</f>
        <v>21</v>
      </c>
    </row>
    <row r="8204">
      <c r="A8204">
        <f>MOD(8204-1,101)</f>
        <v>22</v>
      </c>
    </row>
    <row r="8205">
      <c r="A8205">
        <f>MOD(8205-1,101)</f>
        <v>23</v>
      </c>
    </row>
    <row r="8206">
      <c r="A8206">
        <f>MOD(8206-1,101)</f>
        <v>24</v>
      </c>
    </row>
    <row r="8207">
      <c r="A8207">
        <f>MOD(8207-1,101)</f>
        <v>25</v>
      </c>
    </row>
    <row r="8208">
      <c r="A8208">
        <f>MOD(8208-1,101)</f>
        <v>26</v>
      </c>
    </row>
    <row r="8209">
      <c r="A8209">
        <f>MOD(8209-1,101)</f>
        <v>27</v>
      </c>
    </row>
    <row r="8210">
      <c r="A8210">
        <f>MOD(8210-1,101)</f>
        <v>28</v>
      </c>
    </row>
    <row r="8211">
      <c r="A8211">
        <f>MOD(8211-1,101)</f>
        <v>29</v>
      </c>
    </row>
    <row r="8212">
      <c r="A8212">
        <f>MOD(8212-1,101)</f>
        <v>30</v>
      </c>
    </row>
    <row r="8213">
      <c r="A8213">
        <f>MOD(8213-1,101)</f>
        <v>31</v>
      </c>
    </row>
    <row r="8214">
      <c r="A8214">
        <f>MOD(8214-1,101)</f>
        <v>32</v>
      </c>
    </row>
    <row r="8215">
      <c r="A8215">
        <f>MOD(8215-1,101)</f>
        <v>33</v>
      </c>
    </row>
    <row r="8216">
      <c r="A8216">
        <f>MOD(8216-1,101)</f>
        <v>34</v>
      </c>
    </row>
    <row r="8217">
      <c r="A8217">
        <f>MOD(8217-1,101)</f>
        <v>35</v>
      </c>
    </row>
    <row r="8218">
      <c r="A8218">
        <f>MOD(8218-1,101)</f>
        <v>36</v>
      </c>
    </row>
    <row r="8219">
      <c r="A8219">
        <f>MOD(8219-1,101)</f>
        <v>37</v>
      </c>
    </row>
    <row r="8220">
      <c r="A8220">
        <f>MOD(8220-1,101)</f>
        <v>38</v>
      </c>
    </row>
    <row r="8221">
      <c r="A8221">
        <f>MOD(8221-1,101)</f>
        <v>39</v>
      </c>
    </row>
    <row r="8222">
      <c r="A8222">
        <f>MOD(8222-1,101)</f>
        <v>40</v>
      </c>
    </row>
    <row r="8223">
      <c r="A8223">
        <f>MOD(8223-1,101)</f>
        <v>41</v>
      </c>
    </row>
    <row r="8224">
      <c r="A8224">
        <f>MOD(8224-1,101)</f>
        <v>42</v>
      </c>
    </row>
    <row r="8225">
      <c r="A8225">
        <f>MOD(8225-1,101)</f>
        <v>43</v>
      </c>
    </row>
    <row r="8226">
      <c r="A8226">
        <f>MOD(8226-1,101)</f>
        <v>44</v>
      </c>
    </row>
    <row r="8227">
      <c r="A8227">
        <f>MOD(8227-1,101)</f>
        <v>45</v>
      </c>
    </row>
    <row r="8228">
      <c r="A8228">
        <f>MOD(8228-1,101)</f>
        <v>46</v>
      </c>
    </row>
    <row r="8229">
      <c r="A8229">
        <f>MOD(8229-1,101)</f>
        <v>47</v>
      </c>
    </row>
    <row r="8230">
      <c r="A8230">
        <f>MOD(8230-1,101)</f>
        <v>48</v>
      </c>
    </row>
    <row r="8231">
      <c r="A8231">
        <f>MOD(8231-1,101)</f>
        <v>49</v>
      </c>
    </row>
    <row r="8232">
      <c r="A8232">
        <f>MOD(8232-1,101)</f>
        <v>50</v>
      </c>
    </row>
    <row r="8233">
      <c r="A8233">
        <f>MOD(8233-1,101)</f>
        <v>51</v>
      </c>
    </row>
    <row r="8234">
      <c r="A8234">
        <f>MOD(8234-1,101)</f>
        <v>52</v>
      </c>
    </row>
    <row r="8235">
      <c r="A8235">
        <f>MOD(8235-1,101)</f>
        <v>53</v>
      </c>
    </row>
    <row r="8236">
      <c r="A8236">
        <f>MOD(8236-1,101)</f>
        <v>54</v>
      </c>
    </row>
    <row r="8237">
      <c r="A8237">
        <f>MOD(8237-1,101)</f>
        <v>55</v>
      </c>
    </row>
    <row r="8238">
      <c r="A8238">
        <f>MOD(8238-1,101)</f>
        <v>56</v>
      </c>
    </row>
    <row r="8239">
      <c r="A8239">
        <f>MOD(8239-1,101)</f>
        <v>57</v>
      </c>
    </row>
    <row r="8240">
      <c r="A8240">
        <f>MOD(8240-1,101)</f>
        <v>58</v>
      </c>
    </row>
    <row r="8241">
      <c r="A8241">
        <f>MOD(8241-1,101)</f>
        <v>59</v>
      </c>
    </row>
    <row r="8242">
      <c r="A8242">
        <f>MOD(8242-1,101)</f>
        <v>60</v>
      </c>
    </row>
    <row r="8243">
      <c r="A8243">
        <f>MOD(8243-1,101)</f>
        <v>61</v>
      </c>
    </row>
    <row r="8244">
      <c r="A8244">
        <f>MOD(8244-1,101)</f>
        <v>62</v>
      </c>
    </row>
    <row r="8245">
      <c r="A8245">
        <f>MOD(8245-1,101)</f>
        <v>63</v>
      </c>
    </row>
    <row r="8246">
      <c r="A8246">
        <f>MOD(8246-1,101)</f>
        <v>64</v>
      </c>
    </row>
    <row r="8247">
      <c r="A8247">
        <f>MOD(8247-1,101)</f>
        <v>65</v>
      </c>
    </row>
    <row r="8248">
      <c r="A8248">
        <f>MOD(8248-1,101)</f>
        <v>66</v>
      </c>
    </row>
    <row r="8249">
      <c r="A8249">
        <f>MOD(8249-1,101)</f>
        <v>67</v>
      </c>
    </row>
    <row r="8250">
      <c r="A8250">
        <f>MOD(8250-1,101)</f>
        <v>68</v>
      </c>
    </row>
    <row r="8251">
      <c r="A8251">
        <f>MOD(8251-1,101)</f>
        <v>69</v>
      </c>
    </row>
    <row r="8252">
      <c r="A8252">
        <f>MOD(8252-1,101)</f>
        <v>70</v>
      </c>
    </row>
    <row r="8253">
      <c r="A8253">
        <f>MOD(8253-1,101)</f>
        <v>71</v>
      </c>
    </row>
    <row r="8254">
      <c r="A8254">
        <f>MOD(8254-1,101)</f>
        <v>72</v>
      </c>
    </row>
    <row r="8255">
      <c r="A8255">
        <f>MOD(8255-1,101)</f>
        <v>73</v>
      </c>
    </row>
    <row r="8256">
      <c r="A8256">
        <f>MOD(8256-1,101)</f>
        <v>74</v>
      </c>
    </row>
    <row r="8257">
      <c r="A8257">
        <f>MOD(8257-1,101)</f>
        <v>75</v>
      </c>
    </row>
    <row r="8258">
      <c r="A8258">
        <f>MOD(8258-1,101)</f>
        <v>76</v>
      </c>
    </row>
    <row r="8259">
      <c r="A8259">
        <f>MOD(8259-1,101)</f>
        <v>77</v>
      </c>
    </row>
    <row r="8260">
      <c r="A8260">
        <f>MOD(8260-1,101)</f>
        <v>78</v>
      </c>
    </row>
    <row r="8261">
      <c r="A8261">
        <f>MOD(8261-1,101)</f>
        <v>79</v>
      </c>
    </row>
    <row r="8262">
      <c r="A8262">
        <f>MOD(8262-1,101)</f>
        <v>80</v>
      </c>
    </row>
    <row r="8263">
      <c r="A8263">
        <f>MOD(8263-1,101)</f>
        <v>81</v>
      </c>
    </row>
    <row r="8264">
      <c r="A8264">
        <f>MOD(8264-1,101)</f>
        <v>82</v>
      </c>
    </row>
    <row r="8265">
      <c r="A8265">
        <f>MOD(8265-1,101)</f>
        <v>83</v>
      </c>
    </row>
    <row r="8266">
      <c r="A8266">
        <f>MOD(8266-1,101)</f>
        <v>84</v>
      </c>
    </row>
    <row r="8267">
      <c r="A8267">
        <f>MOD(8267-1,101)</f>
        <v>85</v>
      </c>
    </row>
    <row r="8268">
      <c r="A8268">
        <f>MOD(8268-1,101)</f>
        <v>86</v>
      </c>
    </row>
    <row r="8269">
      <c r="A8269">
        <f>MOD(8269-1,101)</f>
        <v>87</v>
      </c>
    </row>
    <row r="8270">
      <c r="A8270">
        <f>MOD(8270-1,101)</f>
        <v>88</v>
      </c>
    </row>
    <row r="8271">
      <c r="A8271">
        <f>MOD(8271-1,101)</f>
        <v>89</v>
      </c>
    </row>
    <row r="8272">
      <c r="A8272">
        <f>MOD(8272-1,101)</f>
        <v>90</v>
      </c>
    </row>
    <row r="8273">
      <c r="A8273">
        <f>MOD(8273-1,101)</f>
        <v>91</v>
      </c>
    </row>
    <row r="8274">
      <c r="A8274">
        <f>MOD(8274-1,101)</f>
        <v>92</v>
      </c>
    </row>
    <row r="8275">
      <c r="A8275">
        <f>MOD(8275-1,101)</f>
        <v>93</v>
      </c>
    </row>
    <row r="8276">
      <c r="A8276">
        <f>MOD(8276-1,101)</f>
        <v>94</v>
      </c>
    </row>
    <row r="8277">
      <c r="A8277">
        <f>MOD(8277-1,101)</f>
        <v>95</v>
      </c>
    </row>
    <row r="8278">
      <c r="A8278">
        <f>MOD(8278-1,101)</f>
        <v>96</v>
      </c>
    </row>
    <row r="8279">
      <c r="A8279">
        <f>MOD(8279-1,101)</f>
        <v>97</v>
      </c>
    </row>
    <row r="8280">
      <c r="A8280">
        <f>MOD(8280-1,101)</f>
        <v>98</v>
      </c>
    </row>
    <row r="8281">
      <c r="A8281">
        <f>MOD(8281-1,101)</f>
        <v>99</v>
      </c>
    </row>
    <row r="8282">
      <c r="A8282">
        <f>MOD(8282-1,101)</f>
        <v>100</v>
      </c>
    </row>
    <row r="8283">
      <c r="A8283">
        <f>MOD(8283-1,101)</f>
        <v>0</v>
      </c>
    </row>
    <row r="8284">
      <c r="A8284">
        <f>MOD(8284-1,101)</f>
        <v>1</v>
      </c>
    </row>
    <row r="8285">
      <c r="A8285">
        <f>MOD(8285-1,101)</f>
        <v>2</v>
      </c>
    </row>
    <row r="8286">
      <c r="A8286">
        <f>MOD(8286-1,101)</f>
        <v>3</v>
      </c>
    </row>
    <row r="8287">
      <c r="A8287">
        <f>MOD(8287-1,101)</f>
        <v>4</v>
      </c>
    </row>
    <row r="8288">
      <c r="A8288">
        <f>MOD(8288-1,101)</f>
        <v>5</v>
      </c>
    </row>
    <row r="8289">
      <c r="A8289">
        <f>MOD(8289-1,101)</f>
        <v>6</v>
      </c>
    </row>
    <row r="8290">
      <c r="A8290">
        <f>MOD(8290-1,101)</f>
        <v>7</v>
      </c>
    </row>
    <row r="8291">
      <c r="A8291">
        <f>MOD(8291-1,101)</f>
        <v>8</v>
      </c>
    </row>
    <row r="8292">
      <c r="A8292">
        <f>MOD(8292-1,101)</f>
        <v>9</v>
      </c>
    </row>
    <row r="8293">
      <c r="A8293">
        <f>MOD(8293-1,101)</f>
        <v>10</v>
      </c>
    </row>
    <row r="8294">
      <c r="A8294">
        <f>MOD(8294-1,101)</f>
        <v>11</v>
      </c>
    </row>
    <row r="8295">
      <c r="A8295">
        <f>MOD(8295-1,101)</f>
        <v>12</v>
      </c>
    </row>
    <row r="8296">
      <c r="A8296">
        <f>MOD(8296-1,101)</f>
        <v>13</v>
      </c>
    </row>
    <row r="8297">
      <c r="A8297">
        <f>MOD(8297-1,101)</f>
        <v>14</v>
      </c>
    </row>
    <row r="8298">
      <c r="A8298">
        <f>MOD(8298-1,101)</f>
        <v>15</v>
      </c>
    </row>
    <row r="8299">
      <c r="A8299">
        <f>MOD(8299-1,101)</f>
        <v>16</v>
      </c>
    </row>
    <row r="8300">
      <c r="A8300">
        <f>MOD(8300-1,101)</f>
        <v>17</v>
      </c>
    </row>
    <row r="8301">
      <c r="A8301">
        <f>MOD(8301-1,101)</f>
        <v>18</v>
      </c>
    </row>
    <row r="8302">
      <c r="A8302">
        <f>MOD(8302-1,101)</f>
        <v>19</v>
      </c>
    </row>
    <row r="8303">
      <c r="A8303">
        <f>MOD(8303-1,101)</f>
        <v>20</v>
      </c>
    </row>
    <row r="8304">
      <c r="A8304">
        <f>MOD(8304-1,101)</f>
        <v>21</v>
      </c>
    </row>
    <row r="8305">
      <c r="A8305">
        <f>MOD(8305-1,101)</f>
        <v>22</v>
      </c>
    </row>
    <row r="8306">
      <c r="A8306">
        <f>MOD(8306-1,101)</f>
        <v>23</v>
      </c>
    </row>
    <row r="8307">
      <c r="A8307">
        <f>MOD(8307-1,101)</f>
        <v>24</v>
      </c>
    </row>
    <row r="8308">
      <c r="A8308">
        <f>MOD(8308-1,101)</f>
        <v>25</v>
      </c>
    </row>
    <row r="8309">
      <c r="A8309">
        <f>MOD(8309-1,101)</f>
        <v>26</v>
      </c>
    </row>
    <row r="8310">
      <c r="A8310">
        <f>MOD(8310-1,101)</f>
        <v>27</v>
      </c>
    </row>
    <row r="8311">
      <c r="A8311">
        <f>MOD(8311-1,101)</f>
        <v>28</v>
      </c>
    </row>
    <row r="8312">
      <c r="A8312">
        <f>MOD(8312-1,101)</f>
        <v>29</v>
      </c>
    </row>
    <row r="8313">
      <c r="A8313">
        <f>MOD(8313-1,101)</f>
        <v>30</v>
      </c>
    </row>
    <row r="8314">
      <c r="A8314">
        <f>MOD(8314-1,101)</f>
        <v>31</v>
      </c>
    </row>
    <row r="8315">
      <c r="A8315">
        <f>MOD(8315-1,101)</f>
        <v>32</v>
      </c>
    </row>
    <row r="8316">
      <c r="A8316">
        <f>MOD(8316-1,101)</f>
        <v>33</v>
      </c>
    </row>
    <row r="8317">
      <c r="A8317">
        <f>MOD(8317-1,101)</f>
        <v>34</v>
      </c>
    </row>
    <row r="8318">
      <c r="A8318">
        <f>MOD(8318-1,101)</f>
        <v>35</v>
      </c>
    </row>
    <row r="8319">
      <c r="A8319">
        <f>MOD(8319-1,101)</f>
        <v>36</v>
      </c>
    </row>
    <row r="8320">
      <c r="A8320">
        <f>MOD(8320-1,101)</f>
        <v>37</v>
      </c>
    </row>
    <row r="8321">
      <c r="A8321">
        <f>MOD(8321-1,101)</f>
        <v>38</v>
      </c>
    </row>
    <row r="8322">
      <c r="A8322">
        <f>MOD(8322-1,101)</f>
        <v>39</v>
      </c>
    </row>
    <row r="8323">
      <c r="A8323">
        <f>MOD(8323-1,101)</f>
        <v>40</v>
      </c>
    </row>
    <row r="8324">
      <c r="A8324">
        <f>MOD(8324-1,101)</f>
        <v>41</v>
      </c>
    </row>
    <row r="8325">
      <c r="A8325">
        <f>MOD(8325-1,101)</f>
        <v>42</v>
      </c>
    </row>
    <row r="8326">
      <c r="A8326">
        <f>MOD(8326-1,101)</f>
        <v>43</v>
      </c>
    </row>
    <row r="8327">
      <c r="A8327">
        <f>MOD(8327-1,101)</f>
        <v>44</v>
      </c>
    </row>
    <row r="8328">
      <c r="A8328">
        <f>MOD(8328-1,101)</f>
        <v>45</v>
      </c>
    </row>
    <row r="8329">
      <c r="A8329">
        <f>MOD(8329-1,101)</f>
        <v>46</v>
      </c>
    </row>
    <row r="8330">
      <c r="A8330">
        <f>MOD(8330-1,101)</f>
        <v>47</v>
      </c>
    </row>
    <row r="8331">
      <c r="A8331">
        <f>MOD(8331-1,101)</f>
        <v>48</v>
      </c>
    </row>
    <row r="8332">
      <c r="A8332">
        <f>MOD(8332-1,101)</f>
        <v>49</v>
      </c>
    </row>
    <row r="8333">
      <c r="A8333">
        <f>MOD(8333-1,101)</f>
        <v>50</v>
      </c>
    </row>
    <row r="8334">
      <c r="A8334">
        <f>MOD(8334-1,101)</f>
        <v>51</v>
      </c>
    </row>
    <row r="8335">
      <c r="A8335">
        <f>MOD(8335-1,101)</f>
        <v>52</v>
      </c>
    </row>
    <row r="8336">
      <c r="A8336">
        <f>MOD(8336-1,101)</f>
        <v>53</v>
      </c>
    </row>
    <row r="8337">
      <c r="A8337">
        <f>MOD(8337-1,101)</f>
        <v>54</v>
      </c>
    </row>
    <row r="8338">
      <c r="A8338">
        <f>MOD(8338-1,101)</f>
        <v>55</v>
      </c>
    </row>
    <row r="8339">
      <c r="A8339">
        <f>MOD(8339-1,101)</f>
        <v>56</v>
      </c>
    </row>
    <row r="8340">
      <c r="A8340">
        <f>MOD(8340-1,101)</f>
        <v>57</v>
      </c>
    </row>
    <row r="8341">
      <c r="A8341">
        <f>MOD(8341-1,101)</f>
        <v>58</v>
      </c>
    </row>
    <row r="8342">
      <c r="A8342">
        <f>MOD(8342-1,101)</f>
        <v>59</v>
      </c>
    </row>
    <row r="8343">
      <c r="A8343">
        <f>MOD(8343-1,101)</f>
        <v>60</v>
      </c>
    </row>
    <row r="8344">
      <c r="A8344">
        <f>MOD(8344-1,101)</f>
        <v>61</v>
      </c>
    </row>
    <row r="8345">
      <c r="A8345">
        <f>MOD(8345-1,101)</f>
        <v>62</v>
      </c>
    </row>
    <row r="8346">
      <c r="A8346">
        <f>MOD(8346-1,101)</f>
        <v>63</v>
      </c>
    </row>
    <row r="8347">
      <c r="A8347">
        <f>MOD(8347-1,101)</f>
        <v>64</v>
      </c>
    </row>
    <row r="8348">
      <c r="A8348">
        <f>MOD(8348-1,101)</f>
        <v>65</v>
      </c>
    </row>
    <row r="8349">
      <c r="A8349">
        <f>MOD(8349-1,101)</f>
        <v>66</v>
      </c>
    </row>
    <row r="8350">
      <c r="A8350">
        <f>MOD(8350-1,101)</f>
        <v>67</v>
      </c>
    </row>
    <row r="8351">
      <c r="A8351">
        <f>MOD(8351-1,101)</f>
        <v>68</v>
      </c>
    </row>
    <row r="8352">
      <c r="A8352">
        <f>MOD(8352-1,101)</f>
        <v>69</v>
      </c>
    </row>
    <row r="8353">
      <c r="A8353">
        <f>MOD(8353-1,101)</f>
        <v>70</v>
      </c>
    </row>
    <row r="8354">
      <c r="A8354">
        <f>MOD(8354-1,101)</f>
        <v>71</v>
      </c>
    </row>
    <row r="8355">
      <c r="A8355">
        <f>MOD(8355-1,101)</f>
        <v>72</v>
      </c>
    </row>
    <row r="8356">
      <c r="A8356">
        <f>MOD(8356-1,101)</f>
        <v>73</v>
      </c>
    </row>
    <row r="8357">
      <c r="A8357">
        <f>MOD(8357-1,101)</f>
        <v>74</v>
      </c>
    </row>
    <row r="8358">
      <c r="A8358">
        <f>MOD(8358-1,101)</f>
        <v>75</v>
      </c>
    </row>
    <row r="8359">
      <c r="A8359">
        <f>MOD(8359-1,101)</f>
        <v>76</v>
      </c>
    </row>
    <row r="8360">
      <c r="A8360">
        <f>MOD(8360-1,101)</f>
        <v>77</v>
      </c>
    </row>
    <row r="8361">
      <c r="A8361">
        <f>MOD(8361-1,101)</f>
        <v>78</v>
      </c>
    </row>
    <row r="8362">
      <c r="A8362">
        <f>MOD(8362-1,101)</f>
        <v>79</v>
      </c>
    </row>
    <row r="8363">
      <c r="A8363">
        <f>MOD(8363-1,101)</f>
        <v>80</v>
      </c>
    </row>
    <row r="8364">
      <c r="A8364">
        <f>MOD(8364-1,101)</f>
        <v>81</v>
      </c>
    </row>
    <row r="8365">
      <c r="A8365">
        <f>MOD(8365-1,101)</f>
        <v>82</v>
      </c>
    </row>
    <row r="8366">
      <c r="A8366">
        <f>MOD(8366-1,101)</f>
        <v>83</v>
      </c>
    </row>
    <row r="8367">
      <c r="A8367">
        <f>MOD(8367-1,101)</f>
        <v>84</v>
      </c>
    </row>
    <row r="8368">
      <c r="A8368">
        <f>MOD(8368-1,101)</f>
        <v>85</v>
      </c>
    </row>
    <row r="8369">
      <c r="A8369">
        <f>MOD(8369-1,101)</f>
        <v>86</v>
      </c>
    </row>
    <row r="8370">
      <c r="A8370">
        <f>MOD(8370-1,101)</f>
        <v>87</v>
      </c>
    </row>
    <row r="8371">
      <c r="A8371">
        <f>MOD(8371-1,101)</f>
        <v>88</v>
      </c>
    </row>
    <row r="8372">
      <c r="A8372">
        <f>MOD(8372-1,101)</f>
        <v>89</v>
      </c>
    </row>
    <row r="8373">
      <c r="A8373">
        <f>MOD(8373-1,101)</f>
        <v>90</v>
      </c>
    </row>
    <row r="8374">
      <c r="A8374">
        <f>MOD(8374-1,101)</f>
        <v>91</v>
      </c>
    </row>
    <row r="8375">
      <c r="A8375">
        <f>MOD(8375-1,101)</f>
        <v>92</v>
      </c>
    </row>
    <row r="8376">
      <c r="A8376">
        <f>MOD(8376-1,101)</f>
        <v>93</v>
      </c>
    </row>
    <row r="8377">
      <c r="A8377">
        <f>MOD(8377-1,101)</f>
        <v>94</v>
      </c>
    </row>
    <row r="8378">
      <c r="A8378">
        <f>MOD(8378-1,101)</f>
        <v>95</v>
      </c>
    </row>
    <row r="8379">
      <c r="A8379">
        <f>MOD(8379-1,101)</f>
        <v>96</v>
      </c>
    </row>
    <row r="8380">
      <c r="A8380">
        <f>MOD(8380-1,101)</f>
        <v>97</v>
      </c>
    </row>
    <row r="8381">
      <c r="A8381">
        <f>MOD(8381-1,101)</f>
        <v>98</v>
      </c>
    </row>
    <row r="8382">
      <c r="A8382">
        <f>MOD(8382-1,101)</f>
        <v>99</v>
      </c>
    </row>
    <row r="8383">
      <c r="A8383">
        <f>MOD(8383-1,101)</f>
        <v>100</v>
      </c>
    </row>
    <row r="8384">
      <c r="A8384">
        <f>MOD(8384-1,101)</f>
        <v>0</v>
      </c>
    </row>
    <row r="8385">
      <c r="A8385">
        <f>MOD(8385-1,101)</f>
        <v>1</v>
      </c>
    </row>
    <row r="8386">
      <c r="A8386">
        <f>MOD(8386-1,101)</f>
        <v>2</v>
      </c>
    </row>
    <row r="8387">
      <c r="A8387">
        <f>MOD(8387-1,101)</f>
        <v>3</v>
      </c>
    </row>
    <row r="8388">
      <c r="A8388">
        <f>MOD(8388-1,101)</f>
        <v>4</v>
      </c>
    </row>
    <row r="8389">
      <c r="A8389">
        <f>MOD(8389-1,101)</f>
        <v>5</v>
      </c>
    </row>
    <row r="8390">
      <c r="A8390">
        <f>MOD(8390-1,101)</f>
        <v>6</v>
      </c>
    </row>
    <row r="8391">
      <c r="A8391">
        <f>MOD(8391-1,101)</f>
        <v>7</v>
      </c>
    </row>
    <row r="8392">
      <c r="A8392">
        <f>MOD(8392-1,101)</f>
        <v>8</v>
      </c>
    </row>
    <row r="8393">
      <c r="A8393">
        <f>MOD(8393-1,101)</f>
        <v>9</v>
      </c>
    </row>
    <row r="8394">
      <c r="A8394">
        <f>MOD(8394-1,101)</f>
        <v>10</v>
      </c>
    </row>
    <row r="8395">
      <c r="A8395">
        <f>MOD(8395-1,101)</f>
        <v>11</v>
      </c>
    </row>
    <row r="8396">
      <c r="A8396">
        <f>MOD(8396-1,101)</f>
        <v>12</v>
      </c>
    </row>
    <row r="8397">
      <c r="A8397">
        <f>MOD(8397-1,101)</f>
        <v>13</v>
      </c>
    </row>
    <row r="8398">
      <c r="A8398">
        <f>MOD(8398-1,101)</f>
        <v>14</v>
      </c>
    </row>
    <row r="8399">
      <c r="A8399">
        <f>MOD(8399-1,101)</f>
        <v>15</v>
      </c>
    </row>
    <row r="8400">
      <c r="A8400">
        <f>MOD(8400-1,101)</f>
        <v>16</v>
      </c>
    </row>
    <row r="8401">
      <c r="A8401">
        <f>MOD(8401-1,101)</f>
        <v>17</v>
      </c>
    </row>
    <row r="8402">
      <c r="A8402">
        <f>MOD(8402-1,101)</f>
        <v>18</v>
      </c>
    </row>
    <row r="8403">
      <c r="A8403">
        <f>MOD(8403-1,101)</f>
        <v>19</v>
      </c>
    </row>
    <row r="8404">
      <c r="A8404">
        <f>MOD(8404-1,101)</f>
        <v>20</v>
      </c>
    </row>
    <row r="8405">
      <c r="A8405">
        <f>MOD(8405-1,101)</f>
        <v>21</v>
      </c>
    </row>
    <row r="8406">
      <c r="A8406">
        <f>MOD(8406-1,101)</f>
        <v>22</v>
      </c>
    </row>
    <row r="8407">
      <c r="A8407">
        <f>MOD(8407-1,101)</f>
        <v>23</v>
      </c>
    </row>
    <row r="8408">
      <c r="A8408">
        <f>MOD(8408-1,101)</f>
        <v>24</v>
      </c>
    </row>
    <row r="8409">
      <c r="A8409">
        <f>MOD(8409-1,101)</f>
        <v>25</v>
      </c>
    </row>
    <row r="8410">
      <c r="A8410">
        <f>MOD(8410-1,101)</f>
        <v>26</v>
      </c>
    </row>
    <row r="8411">
      <c r="A8411">
        <f>MOD(8411-1,101)</f>
        <v>27</v>
      </c>
    </row>
    <row r="8412">
      <c r="A8412">
        <f>MOD(8412-1,101)</f>
        <v>28</v>
      </c>
    </row>
    <row r="8413">
      <c r="A8413">
        <f>MOD(8413-1,101)</f>
        <v>29</v>
      </c>
    </row>
    <row r="8414">
      <c r="A8414">
        <f>MOD(8414-1,101)</f>
        <v>30</v>
      </c>
    </row>
    <row r="8415">
      <c r="A8415">
        <f>MOD(8415-1,101)</f>
        <v>31</v>
      </c>
    </row>
    <row r="8416">
      <c r="A8416">
        <f>MOD(8416-1,101)</f>
        <v>32</v>
      </c>
    </row>
    <row r="8417">
      <c r="A8417">
        <f>MOD(8417-1,101)</f>
        <v>33</v>
      </c>
    </row>
    <row r="8418">
      <c r="A8418">
        <f>MOD(8418-1,101)</f>
        <v>34</v>
      </c>
    </row>
    <row r="8419">
      <c r="A8419">
        <f>MOD(8419-1,101)</f>
        <v>35</v>
      </c>
    </row>
    <row r="8420">
      <c r="A8420">
        <f>MOD(8420-1,101)</f>
        <v>36</v>
      </c>
    </row>
    <row r="8421">
      <c r="A8421">
        <f>MOD(8421-1,101)</f>
        <v>37</v>
      </c>
    </row>
    <row r="8422">
      <c r="A8422">
        <f>MOD(8422-1,101)</f>
        <v>38</v>
      </c>
    </row>
    <row r="8423">
      <c r="A8423">
        <f>MOD(8423-1,101)</f>
        <v>39</v>
      </c>
    </row>
    <row r="8424">
      <c r="A8424">
        <f>MOD(8424-1,101)</f>
        <v>40</v>
      </c>
    </row>
    <row r="8425">
      <c r="A8425">
        <f>MOD(8425-1,101)</f>
        <v>41</v>
      </c>
    </row>
    <row r="8426">
      <c r="A8426">
        <f>MOD(8426-1,101)</f>
        <v>42</v>
      </c>
    </row>
    <row r="8427">
      <c r="A8427">
        <f>MOD(8427-1,101)</f>
        <v>43</v>
      </c>
    </row>
    <row r="8428">
      <c r="A8428">
        <f>MOD(8428-1,101)</f>
        <v>44</v>
      </c>
    </row>
    <row r="8429">
      <c r="A8429">
        <f>MOD(8429-1,101)</f>
        <v>45</v>
      </c>
    </row>
    <row r="8430">
      <c r="A8430">
        <f>MOD(8430-1,101)</f>
        <v>46</v>
      </c>
    </row>
    <row r="8431">
      <c r="A8431">
        <f>MOD(8431-1,101)</f>
        <v>47</v>
      </c>
    </row>
    <row r="8432">
      <c r="A8432">
        <f>MOD(8432-1,101)</f>
        <v>48</v>
      </c>
    </row>
    <row r="8433">
      <c r="A8433">
        <f>MOD(8433-1,101)</f>
        <v>49</v>
      </c>
    </row>
    <row r="8434">
      <c r="A8434">
        <f>MOD(8434-1,101)</f>
        <v>50</v>
      </c>
    </row>
    <row r="8435">
      <c r="A8435">
        <f>MOD(8435-1,101)</f>
        <v>51</v>
      </c>
    </row>
    <row r="8436">
      <c r="A8436">
        <f>MOD(8436-1,101)</f>
        <v>52</v>
      </c>
    </row>
    <row r="8437">
      <c r="A8437">
        <f>MOD(8437-1,101)</f>
        <v>53</v>
      </c>
    </row>
    <row r="8438">
      <c r="A8438">
        <f>MOD(8438-1,101)</f>
        <v>54</v>
      </c>
    </row>
    <row r="8439">
      <c r="A8439">
        <f>MOD(8439-1,101)</f>
        <v>55</v>
      </c>
    </row>
    <row r="8440">
      <c r="A8440">
        <f>MOD(8440-1,101)</f>
        <v>56</v>
      </c>
    </row>
    <row r="8441">
      <c r="A8441">
        <f>MOD(8441-1,101)</f>
        <v>57</v>
      </c>
    </row>
    <row r="8442">
      <c r="A8442">
        <f>MOD(8442-1,101)</f>
        <v>58</v>
      </c>
    </row>
    <row r="8443">
      <c r="A8443">
        <f>MOD(8443-1,101)</f>
        <v>59</v>
      </c>
    </row>
    <row r="8444">
      <c r="A8444">
        <f>MOD(8444-1,101)</f>
        <v>60</v>
      </c>
    </row>
    <row r="8445">
      <c r="A8445">
        <f>MOD(8445-1,101)</f>
        <v>61</v>
      </c>
    </row>
    <row r="8446">
      <c r="A8446">
        <f>MOD(8446-1,101)</f>
        <v>62</v>
      </c>
    </row>
    <row r="8447">
      <c r="A8447">
        <f>MOD(8447-1,101)</f>
        <v>63</v>
      </c>
    </row>
    <row r="8448">
      <c r="A8448">
        <f>MOD(8448-1,101)</f>
        <v>64</v>
      </c>
    </row>
    <row r="8449">
      <c r="A8449">
        <f>MOD(8449-1,101)</f>
        <v>65</v>
      </c>
    </row>
    <row r="8450">
      <c r="A8450">
        <f>MOD(8450-1,101)</f>
        <v>66</v>
      </c>
    </row>
    <row r="8451">
      <c r="A8451">
        <f>MOD(8451-1,101)</f>
        <v>67</v>
      </c>
    </row>
    <row r="8452">
      <c r="A8452">
        <f>MOD(8452-1,101)</f>
        <v>68</v>
      </c>
    </row>
    <row r="8453">
      <c r="A8453">
        <f>MOD(8453-1,101)</f>
        <v>69</v>
      </c>
    </row>
    <row r="8454">
      <c r="A8454">
        <f>MOD(8454-1,101)</f>
        <v>70</v>
      </c>
    </row>
    <row r="8455">
      <c r="A8455">
        <f>MOD(8455-1,101)</f>
        <v>71</v>
      </c>
    </row>
    <row r="8456">
      <c r="A8456">
        <f>MOD(8456-1,101)</f>
        <v>72</v>
      </c>
    </row>
    <row r="8457">
      <c r="A8457">
        <f>MOD(8457-1,101)</f>
        <v>73</v>
      </c>
    </row>
    <row r="8458">
      <c r="A8458">
        <f>MOD(8458-1,101)</f>
        <v>74</v>
      </c>
    </row>
    <row r="8459">
      <c r="A8459">
        <f>MOD(8459-1,101)</f>
        <v>75</v>
      </c>
    </row>
    <row r="8460">
      <c r="A8460">
        <f>MOD(8460-1,101)</f>
        <v>76</v>
      </c>
    </row>
    <row r="8461">
      <c r="A8461">
        <f>MOD(8461-1,101)</f>
        <v>77</v>
      </c>
    </row>
    <row r="8462">
      <c r="A8462">
        <f>MOD(8462-1,101)</f>
        <v>78</v>
      </c>
    </row>
    <row r="8463">
      <c r="A8463">
        <f>MOD(8463-1,101)</f>
        <v>79</v>
      </c>
    </row>
    <row r="8464">
      <c r="A8464">
        <f>MOD(8464-1,101)</f>
        <v>80</v>
      </c>
    </row>
    <row r="8465">
      <c r="A8465">
        <f>MOD(8465-1,101)</f>
        <v>81</v>
      </c>
    </row>
    <row r="8466">
      <c r="A8466">
        <f>MOD(8466-1,101)</f>
        <v>82</v>
      </c>
    </row>
    <row r="8467">
      <c r="A8467">
        <f>MOD(8467-1,101)</f>
        <v>83</v>
      </c>
    </row>
    <row r="8468">
      <c r="A8468">
        <f>MOD(8468-1,101)</f>
        <v>84</v>
      </c>
    </row>
    <row r="8469">
      <c r="A8469">
        <f>MOD(8469-1,101)</f>
        <v>85</v>
      </c>
    </row>
    <row r="8470">
      <c r="A8470">
        <f>MOD(8470-1,101)</f>
        <v>86</v>
      </c>
    </row>
    <row r="8471">
      <c r="A8471">
        <f>MOD(8471-1,101)</f>
        <v>87</v>
      </c>
    </row>
    <row r="8472">
      <c r="A8472">
        <f>MOD(8472-1,101)</f>
        <v>88</v>
      </c>
    </row>
    <row r="8473">
      <c r="A8473">
        <f>MOD(8473-1,101)</f>
        <v>89</v>
      </c>
    </row>
    <row r="8474">
      <c r="A8474">
        <f>MOD(8474-1,101)</f>
        <v>90</v>
      </c>
    </row>
    <row r="8475">
      <c r="A8475">
        <f>MOD(8475-1,101)</f>
        <v>91</v>
      </c>
    </row>
    <row r="8476">
      <c r="A8476">
        <f>MOD(8476-1,101)</f>
        <v>92</v>
      </c>
    </row>
    <row r="8477">
      <c r="A8477">
        <f>MOD(8477-1,101)</f>
        <v>93</v>
      </c>
    </row>
    <row r="8478">
      <c r="A8478">
        <f>MOD(8478-1,101)</f>
        <v>94</v>
      </c>
    </row>
    <row r="8479">
      <c r="A8479">
        <f>MOD(8479-1,101)</f>
        <v>95</v>
      </c>
    </row>
    <row r="8480">
      <c r="A8480">
        <f>MOD(8480-1,101)</f>
        <v>96</v>
      </c>
    </row>
    <row r="8481">
      <c r="A8481">
        <f>MOD(8481-1,101)</f>
        <v>97</v>
      </c>
    </row>
    <row r="8482">
      <c r="A8482">
        <f>MOD(8482-1,101)</f>
        <v>98</v>
      </c>
    </row>
    <row r="8483">
      <c r="A8483">
        <f>MOD(8483-1,101)</f>
        <v>99</v>
      </c>
    </row>
    <row r="8484">
      <c r="A8484">
        <f>MOD(8484-1,101)</f>
        <v>100</v>
      </c>
    </row>
    <row r="8485">
      <c r="A8485">
        <f>MOD(8485-1,101)</f>
        <v>0</v>
      </c>
    </row>
    <row r="8486">
      <c r="A8486">
        <f>MOD(8486-1,101)</f>
        <v>1</v>
      </c>
    </row>
    <row r="8487">
      <c r="A8487">
        <f>MOD(8487-1,101)</f>
        <v>2</v>
      </c>
    </row>
    <row r="8488">
      <c r="A8488">
        <f>MOD(8488-1,101)</f>
        <v>3</v>
      </c>
    </row>
    <row r="8489">
      <c r="A8489">
        <f>MOD(8489-1,101)</f>
        <v>4</v>
      </c>
    </row>
    <row r="8490">
      <c r="A8490">
        <f>MOD(8490-1,101)</f>
        <v>5</v>
      </c>
    </row>
    <row r="8491">
      <c r="A8491">
        <f>MOD(8491-1,101)</f>
        <v>6</v>
      </c>
    </row>
    <row r="8492">
      <c r="A8492">
        <f>MOD(8492-1,101)</f>
        <v>7</v>
      </c>
    </row>
    <row r="8493">
      <c r="A8493">
        <f>MOD(8493-1,101)</f>
        <v>8</v>
      </c>
    </row>
    <row r="8494">
      <c r="A8494">
        <f>MOD(8494-1,101)</f>
        <v>9</v>
      </c>
    </row>
    <row r="8495">
      <c r="A8495">
        <f>MOD(8495-1,101)</f>
        <v>10</v>
      </c>
    </row>
    <row r="8496">
      <c r="A8496">
        <f>MOD(8496-1,101)</f>
        <v>11</v>
      </c>
    </row>
    <row r="8497">
      <c r="A8497">
        <f>MOD(8497-1,101)</f>
        <v>12</v>
      </c>
    </row>
    <row r="8498">
      <c r="A8498">
        <f>MOD(8498-1,101)</f>
        <v>13</v>
      </c>
    </row>
    <row r="8499">
      <c r="A8499">
        <f>MOD(8499-1,101)</f>
        <v>14</v>
      </c>
    </row>
    <row r="8500">
      <c r="A8500">
        <f>MOD(8500-1,101)</f>
        <v>15</v>
      </c>
    </row>
    <row r="8501">
      <c r="A8501">
        <f>MOD(8501-1,101)</f>
        <v>16</v>
      </c>
    </row>
    <row r="8502">
      <c r="A8502">
        <f>MOD(8502-1,101)</f>
        <v>17</v>
      </c>
    </row>
    <row r="8503">
      <c r="A8503">
        <f>MOD(8503-1,101)</f>
        <v>18</v>
      </c>
    </row>
    <row r="8504">
      <c r="A8504">
        <f>MOD(8504-1,101)</f>
        <v>19</v>
      </c>
    </row>
    <row r="8505">
      <c r="A8505">
        <f>MOD(8505-1,101)</f>
        <v>20</v>
      </c>
    </row>
    <row r="8506">
      <c r="A8506">
        <f>MOD(8506-1,101)</f>
        <v>21</v>
      </c>
    </row>
    <row r="8507">
      <c r="A8507">
        <f>MOD(8507-1,101)</f>
        <v>22</v>
      </c>
    </row>
    <row r="8508">
      <c r="A8508">
        <f>MOD(8508-1,101)</f>
        <v>23</v>
      </c>
    </row>
    <row r="8509">
      <c r="A8509">
        <f>MOD(8509-1,101)</f>
        <v>24</v>
      </c>
    </row>
    <row r="8510">
      <c r="A8510">
        <f>MOD(8510-1,101)</f>
        <v>25</v>
      </c>
    </row>
    <row r="8511">
      <c r="A8511">
        <f>MOD(8511-1,101)</f>
        <v>26</v>
      </c>
    </row>
    <row r="8512">
      <c r="A8512">
        <f>MOD(8512-1,101)</f>
        <v>27</v>
      </c>
    </row>
    <row r="8513">
      <c r="A8513">
        <f>MOD(8513-1,101)</f>
        <v>28</v>
      </c>
    </row>
    <row r="8514">
      <c r="A8514">
        <f>MOD(8514-1,101)</f>
        <v>29</v>
      </c>
    </row>
    <row r="8515">
      <c r="A8515">
        <f>MOD(8515-1,101)</f>
        <v>30</v>
      </c>
    </row>
    <row r="8516">
      <c r="A8516">
        <f>MOD(8516-1,101)</f>
        <v>31</v>
      </c>
    </row>
    <row r="8517">
      <c r="A8517">
        <f>MOD(8517-1,101)</f>
        <v>32</v>
      </c>
    </row>
    <row r="8518">
      <c r="A8518">
        <f>MOD(8518-1,101)</f>
        <v>33</v>
      </c>
    </row>
    <row r="8519">
      <c r="A8519">
        <f>MOD(8519-1,101)</f>
        <v>34</v>
      </c>
    </row>
    <row r="8520">
      <c r="A8520">
        <f>MOD(8520-1,101)</f>
        <v>35</v>
      </c>
    </row>
    <row r="8521">
      <c r="A8521">
        <f>MOD(8521-1,101)</f>
        <v>36</v>
      </c>
    </row>
    <row r="8522">
      <c r="A8522">
        <f>MOD(8522-1,101)</f>
        <v>37</v>
      </c>
    </row>
    <row r="8523">
      <c r="A8523">
        <f>MOD(8523-1,101)</f>
        <v>38</v>
      </c>
    </row>
    <row r="8524">
      <c r="A8524">
        <f>MOD(8524-1,101)</f>
        <v>39</v>
      </c>
    </row>
    <row r="8525">
      <c r="A8525">
        <f>MOD(8525-1,101)</f>
        <v>40</v>
      </c>
    </row>
    <row r="8526">
      <c r="A8526">
        <f>MOD(8526-1,101)</f>
        <v>41</v>
      </c>
    </row>
    <row r="8527">
      <c r="A8527">
        <f>MOD(8527-1,101)</f>
        <v>42</v>
      </c>
    </row>
    <row r="8528">
      <c r="A8528">
        <f>MOD(8528-1,101)</f>
        <v>43</v>
      </c>
    </row>
    <row r="8529">
      <c r="A8529">
        <f>MOD(8529-1,101)</f>
        <v>44</v>
      </c>
    </row>
    <row r="8530">
      <c r="A8530">
        <f>MOD(8530-1,101)</f>
        <v>45</v>
      </c>
    </row>
    <row r="8531">
      <c r="A8531">
        <f>MOD(8531-1,101)</f>
        <v>46</v>
      </c>
    </row>
    <row r="8532">
      <c r="A8532">
        <f>MOD(8532-1,101)</f>
        <v>47</v>
      </c>
    </row>
    <row r="8533">
      <c r="A8533">
        <f>MOD(8533-1,101)</f>
        <v>48</v>
      </c>
    </row>
    <row r="8534">
      <c r="A8534">
        <f>MOD(8534-1,101)</f>
        <v>49</v>
      </c>
    </row>
    <row r="8535">
      <c r="A8535">
        <f>MOD(8535-1,101)</f>
        <v>50</v>
      </c>
    </row>
    <row r="8536">
      <c r="A8536">
        <f>MOD(8536-1,101)</f>
        <v>51</v>
      </c>
    </row>
    <row r="8537">
      <c r="A8537">
        <f>MOD(8537-1,101)</f>
        <v>52</v>
      </c>
    </row>
    <row r="8538">
      <c r="A8538">
        <f>MOD(8538-1,101)</f>
        <v>53</v>
      </c>
    </row>
    <row r="8539">
      <c r="A8539">
        <f>MOD(8539-1,101)</f>
        <v>54</v>
      </c>
    </row>
    <row r="8540">
      <c r="A8540">
        <f>MOD(8540-1,101)</f>
        <v>55</v>
      </c>
    </row>
    <row r="8541">
      <c r="A8541">
        <f>MOD(8541-1,101)</f>
        <v>56</v>
      </c>
    </row>
    <row r="8542">
      <c r="A8542">
        <f>MOD(8542-1,101)</f>
        <v>57</v>
      </c>
    </row>
    <row r="8543">
      <c r="A8543">
        <f>MOD(8543-1,101)</f>
        <v>58</v>
      </c>
    </row>
    <row r="8544">
      <c r="A8544">
        <f>MOD(8544-1,101)</f>
        <v>59</v>
      </c>
    </row>
    <row r="8545">
      <c r="A8545">
        <f>MOD(8545-1,101)</f>
        <v>60</v>
      </c>
    </row>
    <row r="8546">
      <c r="A8546">
        <f>MOD(8546-1,101)</f>
        <v>61</v>
      </c>
    </row>
    <row r="8547">
      <c r="A8547">
        <f>MOD(8547-1,101)</f>
        <v>62</v>
      </c>
    </row>
    <row r="8548">
      <c r="A8548">
        <f>MOD(8548-1,101)</f>
        <v>63</v>
      </c>
    </row>
    <row r="8549">
      <c r="A8549">
        <f>MOD(8549-1,101)</f>
        <v>64</v>
      </c>
    </row>
    <row r="8550">
      <c r="A8550">
        <f>MOD(8550-1,101)</f>
        <v>65</v>
      </c>
    </row>
    <row r="8551">
      <c r="A8551">
        <f>MOD(8551-1,101)</f>
        <v>66</v>
      </c>
    </row>
    <row r="8552">
      <c r="A8552">
        <f>MOD(8552-1,101)</f>
        <v>67</v>
      </c>
    </row>
    <row r="8553">
      <c r="A8553">
        <f>MOD(8553-1,101)</f>
        <v>68</v>
      </c>
    </row>
    <row r="8554">
      <c r="A8554">
        <f>MOD(8554-1,101)</f>
        <v>69</v>
      </c>
    </row>
    <row r="8555">
      <c r="A8555">
        <f>MOD(8555-1,101)</f>
        <v>70</v>
      </c>
    </row>
    <row r="8556">
      <c r="A8556">
        <f>MOD(8556-1,101)</f>
        <v>71</v>
      </c>
    </row>
    <row r="8557">
      <c r="A8557">
        <f>MOD(8557-1,101)</f>
        <v>72</v>
      </c>
    </row>
    <row r="8558">
      <c r="A8558">
        <f>MOD(8558-1,101)</f>
        <v>73</v>
      </c>
    </row>
    <row r="8559">
      <c r="A8559">
        <f>MOD(8559-1,101)</f>
        <v>74</v>
      </c>
    </row>
    <row r="8560">
      <c r="A8560">
        <f>MOD(8560-1,101)</f>
        <v>75</v>
      </c>
    </row>
    <row r="8561">
      <c r="A8561">
        <f>MOD(8561-1,101)</f>
        <v>76</v>
      </c>
    </row>
    <row r="8562">
      <c r="A8562">
        <f>MOD(8562-1,101)</f>
        <v>77</v>
      </c>
    </row>
    <row r="8563">
      <c r="A8563">
        <f>MOD(8563-1,101)</f>
        <v>78</v>
      </c>
    </row>
    <row r="8564">
      <c r="A8564">
        <f>MOD(8564-1,101)</f>
        <v>79</v>
      </c>
    </row>
    <row r="8565">
      <c r="A8565">
        <f>MOD(8565-1,101)</f>
        <v>80</v>
      </c>
    </row>
    <row r="8566">
      <c r="A8566">
        <f>MOD(8566-1,101)</f>
        <v>81</v>
      </c>
    </row>
    <row r="8567">
      <c r="A8567">
        <f>MOD(8567-1,101)</f>
        <v>82</v>
      </c>
    </row>
    <row r="8568">
      <c r="A8568">
        <f>MOD(8568-1,101)</f>
        <v>83</v>
      </c>
    </row>
    <row r="8569">
      <c r="A8569">
        <f>MOD(8569-1,101)</f>
        <v>84</v>
      </c>
    </row>
    <row r="8570">
      <c r="A8570">
        <f>MOD(8570-1,101)</f>
        <v>85</v>
      </c>
    </row>
    <row r="8571">
      <c r="A8571">
        <f>MOD(8571-1,101)</f>
        <v>86</v>
      </c>
    </row>
    <row r="8572">
      <c r="A8572">
        <f>MOD(8572-1,101)</f>
        <v>87</v>
      </c>
    </row>
    <row r="8573">
      <c r="A8573">
        <f>MOD(8573-1,101)</f>
        <v>88</v>
      </c>
    </row>
    <row r="8574">
      <c r="A8574">
        <f>MOD(8574-1,101)</f>
        <v>89</v>
      </c>
    </row>
    <row r="8575">
      <c r="A8575">
        <f>MOD(8575-1,101)</f>
        <v>90</v>
      </c>
    </row>
    <row r="8576">
      <c r="A8576">
        <f>MOD(8576-1,101)</f>
        <v>91</v>
      </c>
    </row>
    <row r="8577">
      <c r="A8577">
        <f>MOD(8577-1,101)</f>
        <v>92</v>
      </c>
    </row>
    <row r="8578">
      <c r="A8578">
        <f>MOD(8578-1,101)</f>
        <v>93</v>
      </c>
    </row>
    <row r="8579">
      <c r="A8579">
        <f>MOD(8579-1,101)</f>
        <v>94</v>
      </c>
    </row>
    <row r="8580">
      <c r="A8580">
        <f>MOD(8580-1,101)</f>
        <v>95</v>
      </c>
    </row>
    <row r="8581">
      <c r="A8581">
        <f>MOD(8581-1,101)</f>
        <v>96</v>
      </c>
    </row>
    <row r="8582">
      <c r="A8582">
        <f>MOD(8582-1,101)</f>
        <v>97</v>
      </c>
    </row>
    <row r="8583">
      <c r="A8583">
        <f>MOD(8583-1,101)</f>
        <v>98</v>
      </c>
    </row>
    <row r="8584">
      <c r="A8584">
        <f>MOD(8584-1,101)</f>
        <v>99</v>
      </c>
    </row>
    <row r="8585">
      <c r="A8585">
        <f>MOD(8585-1,101)</f>
        <v>100</v>
      </c>
    </row>
    <row r="8586">
      <c r="A8586">
        <f>MOD(8586-1,101)</f>
        <v>0</v>
      </c>
    </row>
    <row r="8587">
      <c r="A8587">
        <f>MOD(8587-1,101)</f>
        <v>1</v>
      </c>
    </row>
    <row r="8588">
      <c r="A8588">
        <f>MOD(8588-1,101)</f>
        <v>2</v>
      </c>
    </row>
    <row r="8589">
      <c r="A8589">
        <f>MOD(8589-1,101)</f>
        <v>3</v>
      </c>
    </row>
    <row r="8590">
      <c r="A8590">
        <f>MOD(8590-1,101)</f>
        <v>4</v>
      </c>
    </row>
    <row r="8591">
      <c r="A8591">
        <f>MOD(8591-1,101)</f>
        <v>5</v>
      </c>
    </row>
    <row r="8592">
      <c r="A8592">
        <f>MOD(8592-1,101)</f>
        <v>6</v>
      </c>
    </row>
    <row r="8593">
      <c r="A8593">
        <f>MOD(8593-1,101)</f>
        <v>7</v>
      </c>
    </row>
    <row r="8594">
      <c r="A8594">
        <f>MOD(8594-1,101)</f>
        <v>8</v>
      </c>
    </row>
    <row r="8595">
      <c r="A8595">
        <f>MOD(8595-1,101)</f>
        <v>9</v>
      </c>
    </row>
    <row r="8596">
      <c r="A8596">
        <f>MOD(8596-1,101)</f>
        <v>10</v>
      </c>
    </row>
    <row r="8597">
      <c r="A8597">
        <f>MOD(8597-1,101)</f>
        <v>11</v>
      </c>
    </row>
    <row r="8598">
      <c r="A8598">
        <f>MOD(8598-1,101)</f>
        <v>12</v>
      </c>
    </row>
    <row r="8599">
      <c r="A8599">
        <f>MOD(8599-1,101)</f>
        <v>13</v>
      </c>
    </row>
    <row r="8600">
      <c r="A8600">
        <f>MOD(8600-1,101)</f>
        <v>14</v>
      </c>
    </row>
    <row r="8601">
      <c r="A8601">
        <f>MOD(8601-1,101)</f>
        <v>15</v>
      </c>
    </row>
    <row r="8602">
      <c r="A8602">
        <f>MOD(8602-1,101)</f>
        <v>16</v>
      </c>
    </row>
    <row r="8603">
      <c r="A8603">
        <f>MOD(8603-1,101)</f>
        <v>17</v>
      </c>
    </row>
    <row r="8604">
      <c r="A8604">
        <f>MOD(8604-1,101)</f>
        <v>18</v>
      </c>
    </row>
    <row r="8605">
      <c r="A8605">
        <f>MOD(8605-1,101)</f>
        <v>19</v>
      </c>
    </row>
    <row r="8606">
      <c r="A8606">
        <f>MOD(8606-1,101)</f>
        <v>20</v>
      </c>
    </row>
    <row r="8607">
      <c r="A8607">
        <f>MOD(8607-1,101)</f>
        <v>21</v>
      </c>
    </row>
    <row r="8608">
      <c r="A8608">
        <f>MOD(8608-1,101)</f>
        <v>22</v>
      </c>
    </row>
    <row r="8609">
      <c r="A8609">
        <f>MOD(8609-1,101)</f>
        <v>23</v>
      </c>
    </row>
    <row r="8610">
      <c r="A8610">
        <f>MOD(8610-1,101)</f>
        <v>24</v>
      </c>
    </row>
    <row r="8611">
      <c r="A8611">
        <f>MOD(8611-1,101)</f>
        <v>25</v>
      </c>
    </row>
    <row r="8612">
      <c r="A8612">
        <f>MOD(8612-1,101)</f>
        <v>26</v>
      </c>
    </row>
    <row r="8613">
      <c r="A8613">
        <f>MOD(8613-1,101)</f>
        <v>27</v>
      </c>
    </row>
    <row r="8614">
      <c r="A8614">
        <f>MOD(8614-1,101)</f>
        <v>28</v>
      </c>
    </row>
    <row r="8615">
      <c r="A8615">
        <f>MOD(8615-1,101)</f>
        <v>29</v>
      </c>
    </row>
    <row r="8616">
      <c r="A8616">
        <f>MOD(8616-1,101)</f>
        <v>30</v>
      </c>
    </row>
    <row r="8617">
      <c r="A8617">
        <f>MOD(8617-1,101)</f>
        <v>31</v>
      </c>
    </row>
    <row r="8618">
      <c r="A8618">
        <f>MOD(8618-1,101)</f>
        <v>32</v>
      </c>
    </row>
    <row r="8619">
      <c r="A8619">
        <f>MOD(8619-1,101)</f>
        <v>33</v>
      </c>
    </row>
    <row r="8620">
      <c r="A8620">
        <f>MOD(8620-1,101)</f>
        <v>34</v>
      </c>
    </row>
    <row r="8621">
      <c r="A8621">
        <f>MOD(8621-1,101)</f>
        <v>35</v>
      </c>
    </row>
    <row r="8622">
      <c r="A8622">
        <f>MOD(8622-1,101)</f>
        <v>36</v>
      </c>
    </row>
    <row r="8623">
      <c r="A8623">
        <f>MOD(8623-1,101)</f>
        <v>37</v>
      </c>
    </row>
    <row r="8624">
      <c r="A8624">
        <f>MOD(8624-1,101)</f>
        <v>38</v>
      </c>
    </row>
    <row r="8625">
      <c r="A8625">
        <f>MOD(8625-1,101)</f>
        <v>39</v>
      </c>
    </row>
    <row r="8626">
      <c r="A8626">
        <f>MOD(8626-1,101)</f>
        <v>40</v>
      </c>
    </row>
    <row r="8627">
      <c r="A8627">
        <f>MOD(8627-1,101)</f>
        <v>41</v>
      </c>
    </row>
    <row r="8628">
      <c r="A8628">
        <f>MOD(8628-1,101)</f>
        <v>42</v>
      </c>
    </row>
    <row r="8629">
      <c r="A8629">
        <f>MOD(8629-1,101)</f>
        <v>43</v>
      </c>
    </row>
    <row r="8630">
      <c r="A8630">
        <f>MOD(8630-1,101)</f>
        <v>44</v>
      </c>
    </row>
    <row r="8631">
      <c r="A8631">
        <f>MOD(8631-1,101)</f>
        <v>45</v>
      </c>
    </row>
    <row r="8632">
      <c r="A8632">
        <f>MOD(8632-1,101)</f>
        <v>46</v>
      </c>
    </row>
    <row r="8633">
      <c r="A8633">
        <f>MOD(8633-1,101)</f>
        <v>47</v>
      </c>
    </row>
    <row r="8634">
      <c r="A8634">
        <f>MOD(8634-1,101)</f>
        <v>48</v>
      </c>
    </row>
    <row r="8635">
      <c r="A8635">
        <f>MOD(8635-1,101)</f>
        <v>49</v>
      </c>
    </row>
    <row r="8636">
      <c r="A8636">
        <f>MOD(8636-1,101)</f>
        <v>50</v>
      </c>
    </row>
    <row r="8637">
      <c r="A8637">
        <f>MOD(8637-1,101)</f>
        <v>51</v>
      </c>
    </row>
    <row r="8638">
      <c r="A8638">
        <f>MOD(8638-1,101)</f>
        <v>52</v>
      </c>
    </row>
    <row r="8639">
      <c r="A8639">
        <f>MOD(8639-1,101)</f>
        <v>53</v>
      </c>
    </row>
    <row r="8640">
      <c r="A8640">
        <f>MOD(8640-1,101)</f>
        <v>54</v>
      </c>
    </row>
    <row r="8641">
      <c r="A8641">
        <f>MOD(8641-1,101)</f>
        <v>55</v>
      </c>
    </row>
    <row r="8642">
      <c r="A8642">
        <f>MOD(8642-1,101)</f>
        <v>56</v>
      </c>
    </row>
    <row r="8643">
      <c r="A8643">
        <f>MOD(8643-1,101)</f>
        <v>57</v>
      </c>
    </row>
    <row r="8644">
      <c r="A8644">
        <f>MOD(8644-1,101)</f>
        <v>58</v>
      </c>
    </row>
    <row r="8645">
      <c r="A8645">
        <f>MOD(8645-1,101)</f>
        <v>59</v>
      </c>
    </row>
    <row r="8646">
      <c r="A8646">
        <f>MOD(8646-1,101)</f>
        <v>60</v>
      </c>
    </row>
    <row r="8647">
      <c r="A8647">
        <f>MOD(8647-1,101)</f>
        <v>61</v>
      </c>
    </row>
    <row r="8648">
      <c r="A8648">
        <f>MOD(8648-1,101)</f>
        <v>62</v>
      </c>
    </row>
    <row r="8649">
      <c r="A8649">
        <f>MOD(8649-1,101)</f>
        <v>63</v>
      </c>
    </row>
    <row r="8650">
      <c r="A8650">
        <f>MOD(8650-1,101)</f>
        <v>64</v>
      </c>
    </row>
    <row r="8651">
      <c r="A8651">
        <f>MOD(8651-1,101)</f>
        <v>65</v>
      </c>
    </row>
    <row r="8652">
      <c r="A8652">
        <f>MOD(8652-1,101)</f>
        <v>66</v>
      </c>
    </row>
    <row r="8653">
      <c r="A8653">
        <f>MOD(8653-1,101)</f>
        <v>67</v>
      </c>
    </row>
    <row r="8654">
      <c r="A8654">
        <f>MOD(8654-1,101)</f>
        <v>68</v>
      </c>
    </row>
    <row r="8655">
      <c r="A8655">
        <f>MOD(8655-1,101)</f>
        <v>69</v>
      </c>
    </row>
    <row r="8656">
      <c r="A8656">
        <f>MOD(8656-1,101)</f>
        <v>70</v>
      </c>
    </row>
    <row r="8657">
      <c r="A8657">
        <f>MOD(8657-1,101)</f>
        <v>71</v>
      </c>
    </row>
    <row r="8658">
      <c r="A8658">
        <f>MOD(8658-1,101)</f>
        <v>72</v>
      </c>
    </row>
    <row r="8659">
      <c r="A8659">
        <f>MOD(8659-1,101)</f>
        <v>73</v>
      </c>
    </row>
    <row r="8660">
      <c r="A8660">
        <f>MOD(8660-1,101)</f>
        <v>74</v>
      </c>
    </row>
    <row r="8661">
      <c r="A8661">
        <f>MOD(8661-1,101)</f>
        <v>75</v>
      </c>
    </row>
    <row r="8662">
      <c r="A8662">
        <f>MOD(8662-1,101)</f>
        <v>76</v>
      </c>
    </row>
    <row r="8663">
      <c r="A8663">
        <f>MOD(8663-1,101)</f>
        <v>77</v>
      </c>
    </row>
    <row r="8664">
      <c r="A8664">
        <f>MOD(8664-1,101)</f>
        <v>78</v>
      </c>
    </row>
    <row r="8665">
      <c r="A8665">
        <f>MOD(8665-1,101)</f>
        <v>79</v>
      </c>
    </row>
    <row r="8666">
      <c r="A8666">
        <f>MOD(8666-1,101)</f>
        <v>80</v>
      </c>
    </row>
    <row r="8667">
      <c r="A8667">
        <f>MOD(8667-1,101)</f>
        <v>81</v>
      </c>
    </row>
    <row r="8668">
      <c r="A8668">
        <f>MOD(8668-1,101)</f>
        <v>82</v>
      </c>
    </row>
    <row r="8669">
      <c r="A8669">
        <f>MOD(8669-1,101)</f>
        <v>83</v>
      </c>
    </row>
    <row r="8670">
      <c r="A8670">
        <f>MOD(8670-1,101)</f>
        <v>84</v>
      </c>
    </row>
    <row r="8671">
      <c r="A8671">
        <f>MOD(8671-1,101)</f>
        <v>85</v>
      </c>
    </row>
    <row r="8672">
      <c r="A8672">
        <f>MOD(8672-1,101)</f>
        <v>86</v>
      </c>
    </row>
    <row r="8673">
      <c r="A8673">
        <f>MOD(8673-1,101)</f>
        <v>87</v>
      </c>
    </row>
    <row r="8674">
      <c r="A8674">
        <f>MOD(8674-1,101)</f>
        <v>88</v>
      </c>
    </row>
    <row r="8675">
      <c r="A8675">
        <f>MOD(8675-1,101)</f>
        <v>89</v>
      </c>
    </row>
    <row r="8676">
      <c r="A8676">
        <f>MOD(8676-1,101)</f>
        <v>90</v>
      </c>
    </row>
    <row r="8677">
      <c r="A8677">
        <f>MOD(8677-1,101)</f>
        <v>91</v>
      </c>
    </row>
    <row r="8678">
      <c r="A8678">
        <f>MOD(8678-1,101)</f>
        <v>92</v>
      </c>
    </row>
    <row r="8679">
      <c r="A8679">
        <f>MOD(8679-1,101)</f>
        <v>93</v>
      </c>
    </row>
    <row r="8680">
      <c r="A8680">
        <f>MOD(8680-1,101)</f>
        <v>94</v>
      </c>
    </row>
    <row r="8681">
      <c r="A8681">
        <f>MOD(8681-1,101)</f>
        <v>95</v>
      </c>
    </row>
    <row r="8682">
      <c r="A8682">
        <f>MOD(8682-1,101)</f>
        <v>96</v>
      </c>
    </row>
    <row r="8683">
      <c r="A8683">
        <f>MOD(8683-1,101)</f>
        <v>97</v>
      </c>
    </row>
    <row r="8684">
      <c r="A8684">
        <f>MOD(8684-1,101)</f>
        <v>98</v>
      </c>
    </row>
    <row r="8685">
      <c r="A8685">
        <f>MOD(8685-1,101)</f>
        <v>99</v>
      </c>
    </row>
    <row r="8686">
      <c r="A8686">
        <f>MOD(8686-1,101)</f>
        <v>100</v>
      </c>
    </row>
    <row r="8687">
      <c r="A8687">
        <f>MOD(8687-1,101)</f>
        <v>0</v>
      </c>
    </row>
    <row r="8688">
      <c r="A8688">
        <f>MOD(8688-1,101)</f>
        <v>1</v>
      </c>
    </row>
    <row r="8689">
      <c r="A8689">
        <f>MOD(8689-1,101)</f>
        <v>2</v>
      </c>
    </row>
    <row r="8690">
      <c r="A8690">
        <f>MOD(8690-1,101)</f>
        <v>3</v>
      </c>
    </row>
    <row r="8691">
      <c r="A8691">
        <f>MOD(8691-1,101)</f>
        <v>4</v>
      </c>
    </row>
    <row r="8692">
      <c r="A8692">
        <f>MOD(8692-1,101)</f>
        <v>5</v>
      </c>
    </row>
    <row r="8693">
      <c r="A8693">
        <f>MOD(8693-1,101)</f>
        <v>6</v>
      </c>
    </row>
    <row r="8694">
      <c r="A8694">
        <f>MOD(8694-1,101)</f>
        <v>7</v>
      </c>
    </row>
    <row r="8695">
      <c r="A8695">
        <f>MOD(8695-1,101)</f>
        <v>8</v>
      </c>
    </row>
    <row r="8696">
      <c r="A8696">
        <f>MOD(8696-1,101)</f>
        <v>9</v>
      </c>
    </row>
    <row r="8697">
      <c r="A8697">
        <f>MOD(8697-1,101)</f>
        <v>10</v>
      </c>
    </row>
    <row r="8698">
      <c r="A8698">
        <f>MOD(8698-1,101)</f>
        <v>11</v>
      </c>
    </row>
    <row r="8699">
      <c r="A8699">
        <f>MOD(8699-1,101)</f>
        <v>12</v>
      </c>
    </row>
    <row r="8700">
      <c r="A8700">
        <f>MOD(8700-1,101)</f>
        <v>13</v>
      </c>
    </row>
    <row r="8701">
      <c r="A8701">
        <f>MOD(8701-1,101)</f>
        <v>14</v>
      </c>
    </row>
    <row r="8702">
      <c r="A8702">
        <f>MOD(8702-1,101)</f>
        <v>15</v>
      </c>
    </row>
    <row r="8703">
      <c r="A8703">
        <f>MOD(8703-1,101)</f>
        <v>16</v>
      </c>
    </row>
    <row r="8704">
      <c r="A8704">
        <f>MOD(8704-1,101)</f>
        <v>17</v>
      </c>
    </row>
    <row r="8705">
      <c r="A8705">
        <f>MOD(8705-1,101)</f>
        <v>18</v>
      </c>
    </row>
    <row r="8706">
      <c r="A8706">
        <f>MOD(8706-1,101)</f>
        <v>19</v>
      </c>
    </row>
    <row r="8707">
      <c r="A8707">
        <f>MOD(8707-1,101)</f>
        <v>20</v>
      </c>
    </row>
    <row r="8708">
      <c r="A8708">
        <f>MOD(8708-1,101)</f>
        <v>21</v>
      </c>
    </row>
    <row r="8709">
      <c r="A8709">
        <f>MOD(8709-1,101)</f>
        <v>22</v>
      </c>
    </row>
    <row r="8710">
      <c r="A8710">
        <f>MOD(8710-1,101)</f>
        <v>23</v>
      </c>
    </row>
    <row r="8711">
      <c r="A8711">
        <f>MOD(8711-1,101)</f>
        <v>24</v>
      </c>
    </row>
    <row r="8712">
      <c r="A8712">
        <f>MOD(8712-1,101)</f>
        <v>25</v>
      </c>
    </row>
    <row r="8713">
      <c r="A8713">
        <f>MOD(8713-1,101)</f>
        <v>26</v>
      </c>
    </row>
    <row r="8714">
      <c r="A8714">
        <f>MOD(8714-1,101)</f>
        <v>27</v>
      </c>
    </row>
    <row r="8715">
      <c r="A8715">
        <f>MOD(8715-1,101)</f>
        <v>28</v>
      </c>
    </row>
    <row r="8716">
      <c r="A8716">
        <f>MOD(8716-1,101)</f>
        <v>29</v>
      </c>
    </row>
    <row r="8717">
      <c r="A8717">
        <f>MOD(8717-1,101)</f>
        <v>30</v>
      </c>
    </row>
    <row r="8718">
      <c r="A8718">
        <f>MOD(8718-1,101)</f>
        <v>31</v>
      </c>
    </row>
    <row r="8719">
      <c r="A8719">
        <f>MOD(8719-1,101)</f>
        <v>32</v>
      </c>
    </row>
    <row r="8720">
      <c r="A8720">
        <f>MOD(8720-1,101)</f>
        <v>33</v>
      </c>
    </row>
    <row r="8721">
      <c r="A8721">
        <f>MOD(8721-1,101)</f>
        <v>34</v>
      </c>
    </row>
    <row r="8722">
      <c r="A8722">
        <f>MOD(8722-1,101)</f>
        <v>35</v>
      </c>
    </row>
    <row r="8723">
      <c r="A8723">
        <f>MOD(8723-1,101)</f>
        <v>36</v>
      </c>
    </row>
    <row r="8724">
      <c r="A8724">
        <f>MOD(8724-1,101)</f>
        <v>37</v>
      </c>
    </row>
    <row r="8725">
      <c r="A8725">
        <f>MOD(8725-1,101)</f>
        <v>38</v>
      </c>
    </row>
    <row r="8726">
      <c r="A8726">
        <f>MOD(8726-1,101)</f>
        <v>39</v>
      </c>
    </row>
    <row r="8727">
      <c r="A8727">
        <f>MOD(8727-1,101)</f>
        <v>40</v>
      </c>
    </row>
    <row r="8728">
      <c r="A8728">
        <f>MOD(8728-1,101)</f>
        <v>41</v>
      </c>
    </row>
    <row r="8729">
      <c r="A8729">
        <f>MOD(8729-1,101)</f>
        <v>42</v>
      </c>
    </row>
    <row r="8730">
      <c r="A8730">
        <f>MOD(8730-1,101)</f>
        <v>43</v>
      </c>
    </row>
    <row r="8731">
      <c r="A8731">
        <f>MOD(8731-1,101)</f>
        <v>44</v>
      </c>
    </row>
    <row r="8732">
      <c r="A8732">
        <f>MOD(8732-1,101)</f>
        <v>45</v>
      </c>
    </row>
    <row r="8733">
      <c r="A8733">
        <f>MOD(8733-1,101)</f>
        <v>46</v>
      </c>
    </row>
    <row r="8734">
      <c r="A8734">
        <f>MOD(8734-1,101)</f>
        <v>47</v>
      </c>
    </row>
    <row r="8735">
      <c r="A8735">
        <f>MOD(8735-1,101)</f>
        <v>48</v>
      </c>
    </row>
    <row r="8736">
      <c r="A8736">
        <f>MOD(8736-1,101)</f>
        <v>49</v>
      </c>
    </row>
    <row r="8737">
      <c r="A8737">
        <f>MOD(8737-1,101)</f>
        <v>50</v>
      </c>
    </row>
    <row r="8738">
      <c r="A8738">
        <f>MOD(8738-1,101)</f>
        <v>51</v>
      </c>
    </row>
    <row r="8739">
      <c r="A8739">
        <f>MOD(8739-1,101)</f>
        <v>52</v>
      </c>
    </row>
    <row r="8740">
      <c r="A8740">
        <f>MOD(8740-1,101)</f>
        <v>53</v>
      </c>
    </row>
    <row r="8741">
      <c r="A8741">
        <f>MOD(8741-1,101)</f>
        <v>54</v>
      </c>
    </row>
    <row r="8742">
      <c r="A8742">
        <f>MOD(8742-1,101)</f>
        <v>55</v>
      </c>
    </row>
    <row r="8743">
      <c r="A8743">
        <f>MOD(8743-1,101)</f>
        <v>56</v>
      </c>
    </row>
    <row r="8744">
      <c r="A8744">
        <f>MOD(8744-1,101)</f>
        <v>57</v>
      </c>
    </row>
    <row r="8745">
      <c r="A8745">
        <f>MOD(8745-1,101)</f>
        <v>58</v>
      </c>
    </row>
    <row r="8746">
      <c r="A8746">
        <f>MOD(8746-1,101)</f>
        <v>59</v>
      </c>
    </row>
    <row r="8747">
      <c r="A8747">
        <f>MOD(8747-1,101)</f>
        <v>60</v>
      </c>
    </row>
    <row r="8748">
      <c r="A8748">
        <f>MOD(8748-1,101)</f>
        <v>61</v>
      </c>
    </row>
    <row r="8749">
      <c r="A8749">
        <f>MOD(8749-1,101)</f>
        <v>62</v>
      </c>
    </row>
    <row r="8750">
      <c r="A8750">
        <f>MOD(8750-1,101)</f>
        <v>63</v>
      </c>
    </row>
    <row r="8751">
      <c r="A8751">
        <f>MOD(8751-1,101)</f>
        <v>64</v>
      </c>
    </row>
    <row r="8752">
      <c r="A8752">
        <f>MOD(8752-1,101)</f>
        <v>65</v>
      </c>
    </row>
    <row r="8753">
      <c r="A8753">
        <f>MOD(8753-1,101)</f>
        <v>66</v>
      </c>
    </row>
    <row r="8754">
      <c r="A8754">
        <f>MOD(8754-1,101)</f>
        <v>67</v>
      </c>
    </row>
    <row r="8755">
      <c r="A8755">
        <f>MOD(8755-1,101)</f>
        <v>68</v>
      </c>
    </row>
    <row r="8756">
      <c r="A8756">
        <f>MOD(8756-1,101)</f>
        <v>69</v>
      </c>
    </row>
    <row r="8757">
      <c r="A8757">
        <f>MOD(8757-1,101)</f>
        <v>70</v>
      </c>
    </row>
    <row r="8758">
      <c r="A8758">
        <f>MOD(8758-1,101)</f>
        <v>71</v>
      </c>
    </row>
    <row r="8759">
      <c r="A8759">
        <f>MOD(8759-1,101)</f>
        <v>72</v>
      </c>
    </row>
    <row r="8760">
      <c r="A8760">
        <f>MOD(8760-1,101)</f>
        <v>73</v>
      </c>
    </row>
    <row r="8761">
      <c r="A8761">
        <f>MOD(8761-1,101)</f>
        <v>74</v>
      </c>
    </row>
    <row r="8762">
      <c r="A8762">
        <f>MOD(8762-1,101)</f>
        <v>75</v>
      </c>
    </row>
    <row r="8763">
      <c r="A8763">
        <f>MOD(8763-1,101)</f>
        <v>76</v>
      </c>
    </row>
    <row r="8764">
      <c r="A8764">
        <f>MOD(8764-1,101)</f>
        <v>77</v>
      </c>
    </row>
    <row r="8765">
      <c r="A8765">
        <f>MOD(8765-1,101)</f>
        <v>78</v>
      </c>
    </row>
    <row r="8766">
      <c r="A8766">
        <f>MOD(8766-1,101)</f>
        <v>79</v>
      </c>
    </row>
    <row r="8767">
      <c r="A8767">
        <f>MOD(8767-1,101)</f>
        <v>80</v>
      </c>
    </row>
    <row r="8768">
      <c r="A8768">
        <f>MOD(8768-1,101)</f>
        <v>81</v>
      </c>
    </row>
    <row r="8769">
      <c r="A8769">
        <f>MOD(8769-1,101)</f>
        <v>82</v>
      </c>
    </row>
    <row r="8770">
      <c r="A8770">
        <f>MOD(8770-1,101)</f>
        <v>83</v>
      </c>
    </row>
    <row r="8771">
      <c r="A8771">
        <f>MOD(8771-1,101)</f>
        <v>84</v>
      </c>
    </row>
    <row r="8772">
      <c r="A8772">
        <f>MOD(8772-1,101)</f>
        <v>85</v>
      </c>
    </row>
    <row r="8773">
      <c r="A8773">
        <f>MOD(8773-1,101)</f>
        <v>86</v>
      </c>
    </row>
    <row r="8774">
      <c r="A8774">
        <f>MOD(8774-1,101)</f>
        <v>87</v>
      </c>
    </row>
    <row r="8775">
      <c r="A8775">
        <f>MOD(8775-1,101)</f>
        <v>88</v>
      </c>
    </row>
    <row r="8776">
      <c r="A8776">
        <f>MOD(8776-1,101)</f>
        <v>89</v>
      </c>
    </row>
    <row r="8777">
      <c r="A8777">
        <f>MOD(8777-1,101)</f>
        <v>90</v>
      </c>
    </row>
    <row r="8778">
      <c r="A8778">
        <f>MOD(8778-1,101)</f>
        <v>91</v>
      </c>
    </row>
    <row r="8779">
      <c r="A8779">
        <f>MOD(8779-1,101)</f>
        <v>92</v>
      </c>
    </row>
    <row r="8780">
      <c r="A8780">
        <f>MOD(8780-1,101)</f>
        <v>93</v>
      </c>
    </row>
    <row r="8781">
      <c r="A8781">
        <f>MOD(8781-1,101)</f>
        <v>94</v>
      </c>
    </row>
    <row r="8782">
      <c r="A8782">
        <f>MOD(8782-1,101)</f>
        <v>95</v>
      </c>
    </row>
    <row r="8783">
      <c r="A8783">
        <f>MOD(8783-1,101)</f>
        <v>96</v>
      </c>
    </row>
    <row r="8784">
      <c r="A8784">
        <f>MOD(8784-1,101)</f>
        <v>97</v>
      </c>
    </row>
    <row r="8785">
      <c r="A8785">
        <f>MOD(8785-1,101)</f>
        <v>98</v>
      </c>
    </row>
    <row r="8786">
      <c r="A8786">
        <f>MOD(8786-1,101)</f>
        <v>99</v>
      </c>
    </row>
    <row r="8787">
      <c r="A8787">
        <f>MOD(8787-1,101)</f>
        <v>100</v>
      </c>
    </row>
    <row r="8788">
      <c r="A8788">
        <f>MOD(8788-1,101)</f>
        <v>0</v>
      </c>
    </row>
    <row r="8789">
      <c r="A8789">
        <f>MOD(8789-1,101)</f>
        <v>1</v>
      </c>
    </row>
    <row r="8790">
      <c r="A8790">
        <f>MOD(8790-1,101)</f>
        <v>2</v>
      </c>
    </row>
    <row r="8791">
      <c r="A8791">
        <f>MOD(8791-1,101)</f>
        <v>3</v>
      </c>
    </row>
    <row r="8792">
      <c r="A8792">
        <f>MOD(8792-1,101)</f>
        <v>4</v>
      </c>
    </row>
    <row r="8793">
      <c r="A8793">
        <f>MOD(8793-1,101)</f>
        <v>5</v>
      </c>
    </row>
    <row r="8794">
      <c r="A8794">
        <f>MOD(8794-1,101)</f>
        <v>6</v>
      </c>
    </row>
    <row r="8795">
      <c r="A8795">
        <f>MOD(8795-1,101)</f>
        <v>7</v>
      </c>
    </row>
    <row r="8796">
      <c r="A8796">
        <f>MOD(8796-1,101)</f>
        <v>8</v>
      </c>
    </row>
    <row r="8797">
      <c r="A8797">
        <f>MOD(8797-1,101)</f>
        <v>9</v>
      </c>
    </row>
    <row r="8798">
      <c r="A8798">
        <f>MOD(8798-1,101)</f>
        <v>10</v>
      </c>
    </row>
    <row r="8799">
      <c r="A8799">
        <f>MOD(8799-1,101)</f>
        <v>11</v>
      </c>
    </row>
    <row r="8800">
      <c r="A8800">
        <f>MOD(8800-1,101)</f>
        <v>12</v>
      </c>
    </row>
    <row r="8801">
      <c r="A8801">
        <f>MOD(8801-1,101)</f>
        <v>13</v>
      </c>
    </row>
    <row r="8802">
      <c r="A8802">
        <f>MOD(8802-1,101)</f>
        <v>14</v>
      </c>
    </row>
    <row r="8803">
      <c r="A8803">
        <f>MOD(8803-1,101)</f>
        <v>15</v>
      </c>
    </row>
    <row r="8804">
      <c r="A8804">
        <f>MOD(8804-1,101)</f>
        <v>16</v>
      </c>
    </row>
    <row r="8805">
      <c r="A8805">
        <f>MOD(8805-1,101)</f>
        <v>17</v>
      </c>
    </row>
    <row r="8806">
      <c r="A8806">
        <f>MOD(8806-1,101)</f>
        <v>18</v>
      </c>
    </row>
    <row r="8807">
      <c r="A8807">
        <f>MOD(8807-1,101)</f>
        <v>19</v>
      </c>
    </row>
    <row r="8808">
      <c r="A8808">
        <f>MOD(8808-1,101)</f>
        <v>20</v>
      </c>
    </row>
    <row r="8809">
      <c r="A8809">
        <f>MOD(8809-1,101)</f>
        <v>21</v>
      </c>
    </row>
    <row r="8810">
      <c r="A8810">
        <f>MOD(8810-1,101)</f>
        <v>22</v>
      </c>
    </row>
    <row r="8811">
      <c r="A8811">
        <f>MOD(8811-1,101)</f>
        <v>23</v>
      </c>
    </row>
    <row r="8812">
      <c r="A8812">
        <f>MOD(8812-1,101)</f>
        <v>24</v>
      </c>
    </row>
    <row r="8813">
      <c r="A8813">
        <f>MOD(8813-1,101)</f>
        <v>25</v>
      </c>
    </row>
    <row r="8814">
      <c r="A8814">
        <f>MOD(8814-1,101)</f>
        <v>26</v>
      </c>
    </row>
    <row r="8815">
      <c r="A8815">
        <f>MOD(8815-1,101)</f>
        <v>27</v>
      </c>
    </row>
    <row r="8816">
      <c r="A8816">
        <f>MOD(8816-1,101)</f>
        <v>28</v>
      </c>
    </row>
    <row r="8817">
      <c r="A8817">
        <f>MOD(8817-1,101)</f>
        <v>29</v>
      </c>
    </row>
    <row r="8818">
      <c r="A8818">
        <f>MOD(8818-1,101)</f>
        <v>30</v>
      </c>
    </row>
    <row r="8819">
      <c r="A8819">
        <f>MOD(8819-1,101)</f>
        <v>31</v>
      </c>
    </row>
    <row r="8820">
      <c r="A8820">
        <f>MOD(8820-1,101)</f>
        <v>32</v>
      </c>
    </row>
    <row r="8821">
      <c r="A8821">
        <f>MOD(8821-1,101)</f>
        <v>33</v>
      </c>
    </row>
    <row r="8822">
      <c r="A8822">
        <f>MOD(8822-1,101)</f>
        <v>34</v>
      </c>
    </row>
    <row r="8823">
      <c r="A8823">
        <f>MOD(8823-1,101)</f>
        <v>35</v>
      </c>
    </row>
    <row r="8824">
      <c r="A8824">
        <f>MOD(8824-1,101)</f>
        <v>36</v>
      </c>
    </row>
    <row r="8825">
      <c r="A8825">
        <f>MOD(8825-1,101)</f>
        <v>37</v>
      </c>
    </row>
    <row r="8826">
      <c r="A8826">
        <f>MOD(8826-1,101)</f>
        <v>38</v>
      </c>
    </row>
    <row r="8827">
      <c r="A8827">
        <f>MOD(8827-1,101)</f>
        <v>39</v>
      </c>
    </row>
    <row r="8828">
      <c r="A8828">
        <f>MOD(8828-1,101)</f>
        <v>40</v>
      </c>
    </row>
    <row r="8829">
      <c r="A8829">
        <f>MOD(8829-1,101)</f>
        <v>41</v>
      </c>
    </row>
    <row r="8830">
      <c r="A8830">
        <f>MOD(8830-1,101)</f>
        <v>42</v>
      </c>
    </row>
    <row r="8831">
      <c r="A8831">
        <f>MOD(8831-1,101)</f>
        <v>43</v>
      </c>
    </row>
    <row r="8832">
      <c r="A8832">
        <f>MOD(8832-1,101)</f>
        <v>44</v>
      </c>
    </row>
    <row r="8833">
      <c r="A8833">
        <f>MOD(8833-1,101)</f>
        <v>45</v>
      </c>
    </row>
    <row r="8834">
      <c r="A8834">
        <f>MOD(8834-1,101)</f>
        <v>46</v>
      </c>
    </row>
    <row r="8835">
      <c r="A8835">
        <f>MOD(8835-1,101)</f>
        <v>47</v>
      </c>
    </row>
    <row r="8836">
      <c r="A8836">
        <f>MOD(8836-1,101)</f>
        <v>48</v>
      </c>
    </row>
    <row r="8837">
      <c r="A8837">
        <f>MOD(8837-1,101)</f>
        <v>49</v>
      </c>
    </row>
    <row r="8838">
      <c r="A8838">
        <f>MOD(8838-1,101)</f>
        <v>50</v>
      </c>
    </row>
    <row r="8839">
      <c r="A8839">
        <f>MOD(8839-1,101)</f>
        <v>51</v>
      </c>
    </row>
    <row r="8840">
      <c r="A8840">
        <f>MOD(8840-1,101)</f>
        <v>52</v>
      </c>
    </row>
    <row r="8841">
      <c r="A8841">
        <f>MOD(8841-1,101)</f>
        <v>53</v>
      </c>
    </row>
    <row r="8842">
      <c r="A8842">
        <f>MOD(8842-1,101)</f>
        <v>54</v>
      </c>
    </row>
    <row r="8843">
      <c r="A8843">
        <f>MOD(8843-1,101)</f>
        <v>55</v>
      </c>
    </row>
    <row r="8844">
      <c r="A8844">
        <f>MOD(8844-1,101)</f>
        <v>56</v>
      </c>
    </row>
    <row r="8845">
      <c r="A8845">
        <f>MOD(8845-1,101)</f>
        <v>57</v>
      </c>
    </row>
    <row r="8846">
      <c r="A8846">
        <f>MOD(8846-1,101)</f>
        <v>58</v>
      </c>
    </row>
    <row r="8847">
      <c r="A8847">
        <f>MOD(8847-1,101)</f>
        <v>59</v>
      </c>
    </row>
    <row r="8848">
      <c r="A8848">
        <f>MOD(8848-1,101)</f>
        <v>60</v>
      </c>
    </row>
    <row r="8849">
      <c r="A8849">
        <f>MOD(8849-1,101)</f>
        <v>61</v>
      </c>
    </row>
    <row r="8850">
      <c r="A8850">
        <f>MOD(8850-1,101)</f>
        <v>62</v>
      </c>
    </row>
    <row r="8851">
      <c r="A8851">
        <f>MOD(8851-1,101)</f>
        <v>63</v>
      </c>
    </row>
    <row r="8852">
      <c r="A8852">
        <f>MOD(8852-1,101)</f>
        <v>64</v>
      </c>
    </row>
    <row r="8853">
      <c r="A8853">
        <f>MOD(8853-1,101)</f>
        <v>65</v>
      </c>
    </row>
    <row r="8854">
      <c r="A8854">
        <f>MOD(8854-1,101)</f>
        <v>66</v>
      </c>
    </row>
    <row r="8855">
      <c r="A8855">
        <f>MOD(8855-1,101)</f>
        <v>67</v>
      </c>
    </row>
    <row r="8856">
      <c r="A8856">
        <f>MOD(8856-1,101)</f>
        <v>68</v>
      </c>
    </row>
    <row r="8857">
      <c r="A8857">
        <f>MOD(8857-1,101)</f>
        <v>69</v>
      </c>
    </row>
    <row r="8858">
      <c r="A8858">
        <f>MOD(8858-1,101)</f>
        <v>70</v>
      </c>
    </row>
    <row r="8859">
      <c r="A8859">
        <f>MOD(8859-1,101)</f>
        <v>71</v>
      </c>
    </row>
    <row r="8860">
      <c r="A8860">
        <f>MOD(8860-1,101)</f>
        <v>72</v>
      </c>
    </row>
    <row r="8861">
      <c r="A8861">
        <f>MOD(8861-1,101)</f>
        <v>73</v>
      </c>
    </row>
    <row r="8862">
      <c r="A8862">
        <f>MOD(8862-1,101)</f>
        <v>74</v>
      </c>
    </row>
    <row r="8863">
      <c r="A8863">
        <f>MOD(8863-1,101)</f>
        <v>75</v>
      </c>
    </row>
    <row r="8864">
      <c r="A8864">
        <f>MOD(8864-1,101)</f>
        <v>76</v>
      </c>
    </row>
    <row r="8865">
      <c r="A8865">
        <f>MOD(8865-1,101)</f>
        <v>77</v>
      </c>
    </row>
    <row r="8866">
      <c r="A8866">
        <f>MOD(8866-1,101)</f>
        <v>78</v>
      </c>
    </row>
    <row r="8867">
      <c r="A8867">
        <f>MOD(8867-1,101)</f>
        <v>79</v>
      </c>
    </row>
    <row r="8868">
      <c r="A8868">
        <f>MOD(8868-1,101)</f>
        <v>80</v>
      </c>
    </row>
    <row r="8869">
      <c r="A8869">
        <f>MOD(8869-1,101)</f>
        <v>81</v>
      </c>
    </row>
    <row r="8870">
      <c r="A8870">
        <f>MOD(8870-1,101)</f>
        <v>82</v>
      </c>
    </row>
    <row r="8871">
      <c r="A8871">
        <f>MOD(8871-1,101)</f>
        <v>83</v>
      </c>
    </row>
    <row r="8872">
      <c r="A8872">
        <f>MOD(8872-1,101)</f>
        <v>84</v>
      </c>
    </row>
    <row r="8873">
      <c r="A8873">
        <f>MOD(8873-1,101)</f>
        <v>85</v>
      </c>
    </row>
    <row r="8874">
      <c r="A8874">
        <f>MOD(8874-1,101)</f>
        <v>86</v>
      </c>
    </row>
    <row r="8875">
      <c r="A8875">
        <f>MOD(8875-1,101)</f>
        <v>87</v>
      </c>
    </row>
    <row r="8876">
      <c r="A8876">
        <f>MOD(8876-1,101)</f>
        <v>88</v>
      </c>
    </row>
    <row r="8877">
      <c r="A8877">
        <f>MOD(8877-1,101)</f>
        <v>89</v>
      </c>
    </row>
    <row r="8878">
      <c r="A8878">
        <f>MOD(8878-1,101)</f>
        <v>90</v>
      </c>
    </row>
    <row r="8879">
      <c r="A8879">
        <f>MOD(8879-1,101)</f>
        <v>91</v>
      </c>
    </row>
    <row r="8880">
      <c r="A8880">
        <f>MOD(8880-1,101)</f>
        <v>92</v>
      </c>
    </row>
    <row r="8881">
      <c r="A8881">
        <f>MOD(8881-1,101)</f>
        <v>93</v>
      </c>
    </row>
    <row r="8882">
      <c r="A8882">
        <f>MOD(8882-1,101)</f>
        <v>94</v>
      </c>
    </row>
    <row r="8883">
      <c r="A8883">
        <f>MOD(8883-1,101)</f>
        <v>95</v>
      </c>
    </row>
    <row r="8884">
      <c r="A8884">
        <f>MOD(8884-1,101)</f>
        <v>96</v>
      </c>
    </row>
    <row r="8885">
      <c r="A8885">
        <f>MOD(8885-1,101)</f>
        <v>97</v>
      </c>
    </row>
    <row r="8886">
      <c r="A8886">
        <f>MOD(8886-1,101)</f>
        <v>98</v>
      </c>
    </row>
    <row r="8887">
      <c r="A8887">
        <f>MOD(8887-1,101)</f>
        <v>99</v>
      </c>
    </row>
    <row r="8888">
      <c r="A8888">
        <f>MOD(8888-1,101)</f>
        <v>100</v>
      </c>
    </row>
    <row r="8889">
      <c r="A8889">
        <f>MOD(8889-1,101)</f>
        <v>0</v>
      </c>
    </row>
    <row r="8890">
      <c r="A8890">
        <f>MOD(8890-1,101)</f>
        <v>1</v>
      </c>
    </row>
    <row r="8891">
      <c r="A8891">
        <f>MOD(8891-1,101)</f>
        <v>2</v>
      </c>
    </row>
    <row r="8892">
      <c r="A8892">
        <f>MOD(8892-1,101)</f>
        <v>3</v>
      </c>
    </row>
    <row r="8893">
      <c r="A8893">
        <f>MOD(8893-1,101)</f>
        <v>4</v>
      </c>
    </row>
    <row r="8894">
      <c r="A8894">
        <f>MOD(8894-1,101)</f>
        <v>5</v>
      </c>
    </row>
    <row r="8895">
      <c r="A8895">
        <f>MOD(8895-1,101)</f>
        <v>6</v>
      </c>
    </row>
    <row r="8896">
      <c r="A8896">
        <f>MOD(8896-1,101)</f>
        <v>7</v>
      </c>
    </row>
    <row r="8897">
      <c r="A8897">
        <f>MOD(8897-1,101)</f>
        <v>8</v>
      </c>
    </row>
    <row r="8898">
      <c r="A8898">
        <f>MOD(8898-1,101)</f>
        <v>9</v>
      </c>
    </row>
    <row r="8899">
      <c r="A8899">
        <f>MOD(8899-1,101)</f>
        <v>10</v>
      </c>
    </row>
    <row r="8900">
      <c r="A8900">
        <f>MOD(8900-1,101)</f>
        <v>11</v>
      </c>
    </row>
    <row r="8901">
      <c r="A8901">
        <f>MOD(8901-1,101)</f>
        <v>12</v>
      </c>
    </row>
    <row r="8902">
      <c r="A8902">
        <f>MOD(8902-1,101)</f>
        <v>13</v>
      </c>
    </row>
    <row r="8903">
      <c r="A8903">
        <f>MOD(8903-1,101)</f>
        <v>14</v>
      </c>
    </row>
    <row r="8904">
      <c r="A8904">
        <f>MOD(8904-1,101)</f>
        <v>15</v>
      </c>
    </row>
    <row r="8905">
      <c r="A8905">
        <f>MOD(8905-1,101)</f>
        <v>16</v>
      </c>
    </row>
    <row r="8906">
      <c r="A8906">
        <f>MOD(8906-1,101)</f>
        <v>17</v>
      </c>
    </row>
    <row r="8907">
      <c r="A8907">
        <f>MOD(8907-1,101)</f>
        <v>18</v>
      </c>
    </row>
    <row r="8908">
      <c r="A8908">
        <f>MOD(8908-1,101)</f>
        <v>19</v>
      </c>
    </row>
    <row r="8909">
      <c r="A8909">
        <f>MOD(8909-1,101)</f>
        <v>20</v>
      </c>
    </row>
    <row r="8910">
      <c r="A8910">
        <f>MOD(8910-1,101)</f>
        <v>21</v>
      </c>
    </row>
    <row r="8911">
      <c r="A8911">
        <f>MOD(8911-1,101)</f>
        <v>22</v>
      </c>
    </row>
    <row r="8912">
      <c r="A8912">
        <f>MOD(8912-1,101)</f>
        <v>23</v>
      </c>
    </row>
    <row r="8913">
      <c r="A8913">
        <f>MOD(8913-1,101)</f>
        <v>24</v>
      </c>
    </row>
    <row r="8914">
      <c r="A8914">
        <f>MOD(8914-1,101)</f>
        <v>25</v>
      </c>
    </row>
    <row r="8915">
      <c r="A8915">
        <f>MOD(8915-1,101)</f>
        <v>26</v>
      </c>
    </row>
    <row r="8916">
      <c r="A8916">
        <f>MOD(8916-1,101)</f>
        <v>27</v>
      </c>
    </row>
    <row r="8917">
      <c r="A8917">
        <f>MOD(8917-1,101)</f>
        <v>28</v>
      </c>
    </row>
    <row r="8918">
      <c r="A8918">
        <f>MOD(8918-1,101)</f>
        <v>29</v>
      </c>
    </row>
    <row r="8919">
      <c r="A8919">
        <f>MOD(8919-1,101)</f>
        <v>30</v>
      </c>
    </row>
    <row r="8920">
      <c r="A8920">
        <f>MOD(8920-1,101)</f>
        <v>31</v>
      </c>
    </row>
    <row r="8921">
      <c r="A8921">
        <f>MOD(8921-1,101)</f>
        <v>32</v>
      </c>
    </row>
    <row r="8922">
      <c r="A8922">
        <f>MOD(8922-1,101)</f>
        <v>33</v>
      </c>
    </row>
    <row r="8923">
      <c r="A8923">
        <f>MOD(8923-1,101)</f>
        <v>34</v>
      </c>
    </row>
    <row r="8924">
      <c r="A8924">
        <f>MOD(8924-1,101)</f>
        <v>35</v>
      </c>
    </row>
    <row r="8925">
      <c r="A8925">
        <f>MOD(8925-1,101)</f>
        <v>36</v>
      </c>
    </row>
    <row r="8926">
      <c r="A8926">
        <f>MOD(8926-1,101)</f>
        <v>37</v>
      </c>
    </row>
    <row r="8927">
      <c r="A8927">
        <f>MOD(8927-1,101)</f>
        <v>38</v>
      </c>
    </row>
    <row r="8928">
      <c r="A8928">
        <f>MOD(8928-1,101)</f>
        <v>39</v>
      </c>
    </row>
    <row r="8929">
      <c r="A8929">
        <f>MOD(8929-1,101)</f>
        <v>40</v>
      </c>
    </row>
    <row r="8930">
      <c r="A8930">
        <f>MOD(8930-1,101)</f>
        <v>41</v>
      </c>
    </row>
    <row r="8931">
      <c r="A8931">
        <f>MOD(8931-1,101)</f>
        <v>42</v>
      </c>
    </row>
    <row r="8932">
      <c r="A8932">
        <f>MOD(8932-1,101)</f>
        <v>43</v>
      </c>
    </row>
    <row r="8933">
      <c r="A8933">
        <f>MOD(8933-1,101)</f>
        <v>44</v>
      </c>
    </row>
    <row r="8934">
      <c r="A8934">
        <f>MOD(8934-1,101)</f>
        <v>45</v>
      </c>
    </row>
    <row r="8935">
      <c r="A8935">
        <f>MOD(8935-1,101)</f>
        <v>46</v>
      </c>
    </row>
    <row r="8936">
      <c r="A8936">
        <f>MOD(8936-1,101)</f>
        <v>47</v>
      </c>
    </row>
    <row r="8937">
      <c r="A8937">
        <f>MOD(8937-1,101)</f>
        <v>48</v>
      </c>
    </row>
    <row r="8938">
      <c r="A8938">
        <f>MOD(8938-1,101)</f>
        <v>49</v>
      </c>
    </row>
    <row r="8939">
      <c r="A8939">
        <f>MOD(8939-1,101)</f>
        <v>50</v>
      </c>
    </row>
    <row r="8940">
      <c r="A8940">
        <f>MOD(8940-1,101)</f>
        <v>51</v>
      </c>
    </row>
    <row r="8941">
      <c r="A8941">
        <f>MOD(8941-1,101)</f>
        <v>52</v>
      </c>
    </row>
    <row r="8942">
      <c r="A8942">
        <f>MOD(8942-1,101)</f>
        <v>53</v>
      </c>
    </row>
    <row r="8943">
      <c r="A8943">
        <f>MOD(8943-1,101)</f>
        <v>54</v>
      </c>
    </row>
    <row r="8944">
      <c r="A8944">
        <f>MOD(8944-1,101)</f>
        <v>55</v>
      </c>
    </row>
    <row r="8945">
      <c r="A8945">
        <f>MOD(8945-1,101)</f>
        <v>56</v>
      </c>
    </row>
    <row r="8946">
      <c r="A8946">
        <f>MOD(8946-1,101)</f>
        <v>57</v>
      </c>
    </row>
    <row r="8947">
      <c r="A8947">
        <f>MOD(8947-1,101)</f>
        <v>58</v>
      </c>
    </row>
    <row r="8948">
      <c r="A8948">
        <f>MOD(8948-1,101)</f>
        <v>59</v>
      </c>
    </row>
    <row r="8949">
      <c r="A8949">
        <f>MOD(8949-1,101)</f>
        <v>60</v>
      </c>
    </row>
    <row r="8950">
      <c r="A8950">
        <f>MOD(8950-1,101)</f>
        <v>61</v>
      </c>
    </row>
    <row r="8951">
      <c r="A8951">
        <f>MOD(8951-1,101)</f>
        <v>62</v>
      </c>
    </row>
    <row r="8952">
      <c r="A8952">
        <f>MOD(8952-1,101)</f>
        <v>63</v>
      </c>
    </row>
    <row r="8953">
      <c r="A8953">
        <f>MOD(8953-1,101)</f>
        <v>64</v>
      </c>
    </row>
    <row r="8954">
      <c r="A8954">
        <f>MOD(8954-1,101)</f>
        <v>65</v>
      </c>
    </row>
    <row r="8955">
      <c r="A8955">
        <f>MOD(8955-1,101)</f>
        <v>66</v>
      </c>
    </row>
    <row r="8956">
      <c r="A8956">
        <f>MOD(8956-1,101)</f>
        <v>67</v>
      </c>
    </row>
    <row r="8957">
      <c r="A8957">
        <f>MOD(8957-1,101)</f>
        <v>68</v>
      </c>
    </row>
    <row r="8958">
      <c r="A8958">
        <f>MOD(8958-1,101)</f>
        <v>69</v>
      </c>
    </row>
    <row r="8959">
      <c r="A8959">
        <f>MOD(8959-1,101)</f>
        <v>70</v>
      </c>
    </row>
    <row r="8960">
      <c r="A8960">
        <f>MOD(8960-1,101)</f>
        <v>71</v>
      </c>
    </row>
    <row r="8961">
      <c r="A8961">
        <f>MOD(8961-1,101)</f>
        <v>72</v>
      </c>
    </row>
    <row r="8962">
      <c r="A8962">
        <f>MOD(8962-1,101)</f>
        <v>73</v>
      </c>
    </row>
    <row r="8963">
      <c r="A8963">
        <f>MOD(8963-1,101)</f>
        <v>74</v>
      </c>
    </row>
    <row r="8964">
      <c r="A8964">
        <f>MOD(8964-1,101)</f>
        <v>75</v>
      </c>
    </row>
    <row r="8965">
      <c r="A8965">
        <f>MOD(8965-1,101)</f>
        <v>76</v>
      </c>
    </row>
    <row r="8966">
      <c r="A8966">
        <f>MOD(8966-1,101)</f>
        <v>77</v>
      </c>
    </row>
    <row r="8967">
      <c r="A8967">
        <f>MOD(8967-1,101)</f>
        <v>78</v>
      </c>
    </row>
    <row r="8968">
      <c r="A8968">
        <f>MOD(8968-1,101)</f>
        <v>79</v>
      </c>
    </row>
    <row r="8969">
      <c r="A8969">
        <f>MOD(8969-1,101)</f>
        <v>80</v>
      </c>
    </row>
    <row r="8970">
      <c r="A8970">
        <f>MOD(8970-1,101)</f>
        <v>81</v>
      </c>
    </row>
    <row r="8971">
      <c r="A8971">
        <f>MOD(8971-1,101)</f>
        <v>82</v>
      </c>
    </row>
    <row r="8972">
      <c r="A8972">
        <f>MOD(8972-1,101)</f>
        <v>83</v>
      </c>
    </row>
    <row r="8973">
      <c r="A8973">
        <f>MOD(8973-1,101)</f>
        <v>84</v>
      </c>
    </row>
    <row r="8974">
      <c r="A8974">
        <f>MOD(8974-1,101)</f>
        <v>85</v>
      </c>
    </row>
    <row r="8975">
      <c r="A8975">
        <f>MOD(8975-1,101)</f>
        <v>86</v>
      </c>
    </row>
    <row r="8976">
      <c r="A8976">
        <f>MOD(8976-1,101)</f>
        <v>87</v>
      </c>
    </row>
    <row r="8977">
      <c r="A8977">
        <f>MOD(8977-1,101)</f>
        <v>88</v>
      </c>
    </row>
    <row r="8978">
      <c r="A8978">
        <f>MOD(8978-1,101)</f>
        <v>89</v>
      </c>
    </row>
    <row r="8979">
      <c r="A8979">
        <f>MOD(8979-1,101)</f>
        <v>90</v>
      </c>
    </row>
    <row r="8980">
      <c r="A8980">
        <f>MOD(8980-1,101)</f>
        <v>91</v>
      </c>
    </row>
    <row r="8981">
      <c r="A8981">
        <f>MOD(8981-1,101)</f>
        <v>92</v>
      </c>
    </row>
    <row r="8982">
      <c r="A8982">
        <f>MOD(8982-1,101)</f>
        <v>93</v>
      </c>
    </row>
    <row r="8983">
      <c r="A8983">
        <f>MOD(8983-1,101)</f>
        <v>94</v>
      </c>
    </row>
    <row r="8984">
      <c r="A8984">
        <f>MOD(8984-1,101)</f>
        <v>95</v>
      </c>
    </row>
    <row r="8985">
      <c r="A8985">
        <f>MOD(8985-1,101)</f>
        <v>96</v>
      </c>
    </row>
    <row r="8986">
      <c r="A8986">
        <f>MOD(8986-1,101)</f>
        <v>97</v>
      </c>
    </row>
    <row r="8987">
      <c r="A8987">
        <f>MOD(8987-1,101)</f>
        <v>98</v>
      </c>
    </row>
    <row r="8988">
      <c r="A8988">
        <f>MOD(8988-1,101)</f>
        <v>99</v>
      </c>
    </row>
    <row r="8989">
      <c r="A8989">
        <f>MOD(8989-1,101)</f>
        <v>100</v>
      </c>
    </row>
    <row r="8990">
      <c r="A8990">
        <f>MOD(8990-1,101)</f>
        <v>0</v>
      </c>
    </row>
    <row r="8991">
      <c r="A8991">
        <f>MOD(8991-1,101)</f>
        <v>1</v>
      </c>
    </row>
    <row r="8992">
      <c r="A8992">
        <f>MOD(8992-1,101)</f>
        <v>2</v>
      </c>
    </row>
    <row r="8993">
      <c r="A8993">
        <f>MOD(8993-1,101)</f>
        <v>3</v>
      </c>
    </row>
    <row r="8994">
      <c r="A8994">
        <f>MOD(8994-1,101)</f>
        <v>4</v>
      </c>
    </row>
    <row r="8995">
      <c r="A8995">
        <f>MOD(8995-1,101)</f>
        <v>5</v>
      </c>
    </row>
    <row r="8996">
      <c r="A8996">
        <f>MOD(8996-1,101)</f>
        <v>6</v>
      </c>
    </row>
    <row r="8997">
      <c r="A8997">
        <f>MOD(8997-1,101)</f>
        <v>7</v>
      </c>
    </row>
    <row r="8998">
      <c r="A8998">
        <f>MOD(8998-1,101)</f>
        <v>8</v>
      </c>
    </row>
    <row r="8999">
      <c r="A8999">
        <f>MOD(8999-1,101)</f>
        <v>9</v>
      </c>
    </row>
    <row r="9000">
      <c r="A9000">
        <f>MOD(9000-1,101)</f>
        <v>10</v>
      </c>
    </row>
    <row r="9001">
      <c r="A9001">
        <f>MOD(9001-1,101)</f>
        <v>11</v>
      </c>
    </row>
    <row r="9002">
      <c r="A9002">
        <f>MOD(9002-1,101)</f>
        <v>12</v>
      </c>
    </row>
    <row r="9003">
      <c r="A9003">
        <f>MOD(9003-1,101)</f>
        <v>13</v>
      </c>
    </row>
    <row r="9004">
      <c r="A9004">
        <f>MOD(9004-1,101)</f>
        <v>14</v>
      </c>
    </row>
    <row r="9005">
      <c r="A9005">
        <f>MOD(9005-1,101)</f>
        <v>15</v>
      </c>
    </row>
    <row r="9006">
      <c r="A9006">
        <f>MOD(9006-1,101)</f>
        <v>16</v>
      </c>
    </row>
    <row r="9007">
      <c r="A9007">
        <f>MOD(9007-1,101)</f>
        <v>17</v>
      </c>
    </row>
    <row r="9008">
      <c r="A9008">
        <f>MOD(9008-1,101)</f>
        <v>18</v>
      </c>
    </row>
    <row r="9009">
      <c r="A9009">
        <f>MOD(9009-1,101)</f>
        <v>19</v>
      </c>
    </row>
    <row r="9010">
      <c r="A9010">
        <f>MOD(9010-1,101)</f>
        <v>20</v>
      </c>
    </row>
    <row r="9011">
      <c r="A9011">
        <f>MOD(9011-1,101)</f>
        <v>21</v>
      </c>
    </row>
    <row r="9012">
      <c r="A9012">
        <f>MOD(9012-1,101)</f>
        <v>22</v>
      </c>
    </row>
    <row r="9013">
      <c r="A9013">
        <f>MOD(9013-1,101)</f>
        <v>23</v>
      </c>
    </row>
    <row r="9014">
      <c r="A9014">
        <f>MOD(9014-1,101)</f>
        <v>24</v>
      </c>
    </row>
    <row r="9015">
      <c r="A9015">
        <f>MOD(9015-1,101)</f>
        <v>25</v>
      </c>
    </row>
    <row r="9016">
      <c r="A9016">
        <f>MOD(9016-1,101)</f>
        <v>26</v>
      </c>
    </row>
    <row r="9017">
      <c r="A9017">
        <f>MOD(9017-1,101)</f>
        <v>27</v>
      </c>
    </row>
    <row r="9018">
      <c r="A9018">
        <f>MOD(9018-1,101)</f>
        <v>28</v>
      </c>
    </row>
    <row r="9019">
      <c r="A9019">
        <f>MOD(9019-1,101)</f>
        <v>29</v>
      </c>
    </row>
    <row r="9020">
      <c r="A9020">
        <f>MOD(9020-1,101)</f>
        <v>30</v>
      </c>
    </row>
    <row r="9021">
      <c r="A9021">
        <f>MOD(9021-1,101)</f>
        <v>31</v>
      </c>
    </row>
    <row r="9022">
      <c r="A9022">
        <f>MOD(9022-1,101)</f>
        <v>32</v>
      </c>
    </row>
    <row r="9023">
      <c r="A9023">
        <f>MOD(9023-1,101)</f>
        <v>33</v>
      </c>
    </row>
    <row r="9024">
      <c r="A9024">
        <f>MOD(9024-1,101)</f>
        <v>34</v>
      </c>
    </row>
    <row r="9025">
      <c r="A9025">
        <f>MOD(9025-1,101)</f>
        <v>35</v>
      </c>
    </row>
    <row r="9026">
      <c r="A9026">
        <f>MOD(9026-1,101)</f>
        <v>36</v>
      </c>
    </row>
    <row r="9027">
      <c r="A9027">
        <f>MOD(9027-1,101)</f>
        <v>37</v>
      </c>
    </row>
    <row r="9028">
      <c r="A9028">
        <f>MOD(9028-1,101)</f>
        <v>38</v>
      </c>
    </row>
    <row r="9029">
      <c r="A9029">
        <f>MOD(9029-1,101)</f>
        <v>39</v>
      </c>
    </row>
    <row r="9030">
      <c r="A9030">
        <f>MOD(9030-1,101)</f>
        <v>40</v>
      </c>
    </row>
    <row r="9031">
      <c r="A9031">
        <f>MOD(9031-1,101)</f>
        <v>41</v>
      </c>
    </row>
    <row r="9032">
      <c r="A9032">
        <f>MOD(9032-1,101)</f>
        <v>42</v>
      </c>
    </row>
    <row r="9033">
      <c r="A9033">
        <f>MOD(9033-1,101)</f>
        <v>43</v>
      </c>
    </row>
    <row r="9034">
      <c r="A9034">
        <f>MOD(9034-1,101)</f>
        <v>44</v>
      </c>
    </row>
    <row r="9035">
      <c r="A9035">
        <f>MOD(9035-1,101)</f>
        <v>45</v>
      </c>
    </row>
    <row r="9036">
      <c r="A9036">
        <f>MOD(9036-1,101)</f>
        <v>46</v>
      </c>
    </row>
    <row r="9037">
      <c r="A9037">
        <f>MOD(9037-1,101)</f>
        <v>47</v>
      </c>
    </row>
    <row r="9038">
      <c r="A9038">
        <f>MOD(9038-1,101)</f>
        <v>48</v>
      </c>
    </row>
    <row r="9039">
      <c r="A9039">
        <f>MOD(9039-1,101)</f>
        <v>49</v>
      </c>
    </row>
    <row r="9040">
      <c r="A9040">
        <f>MOD(9040-1,101)</f>
        <v>50</v>
      </c>
    </row>
    <row r="9041">
      <c r="A9041">
        <f>MOD(9041-1,101)</f>
        <v>51</v>
      </c>
    </row>
    <row r="9042">
      <c r="A9042">
        <f>MOD(9042-1,101)</f>
        <v>52</v>
      </c>
    </row>
    <row r="9043">
      <c r="A9043">
        <f>MOD(9043-1,101)</f>
        <v>53</v>
      </c>
    </row>
    <row r="9044">
      <c r="A9044">
        <f>MOD(9044-1,101)</f>
        <v>54</v>
      </c>
    </row>
    <row r="9045">
      <c r="A9045">
        <f>MOD(9045-1,101)</f>
        <v>55</v>
      </c>
    </row>
    <row r="9046">
      <c r="A9046">
        <f>MOD(9046-1,101)</f>
        <v>56</v>
      </c>
    </row>
    <row r="9047">
      <c r="A9047">
        <f>MOD(9047-1,101)</f>
        <v>57</v>
      </c>
    </row>
    <row r="9048">
      <c r="A9048">
        <f>MOD(9048-1,101)</f>
        <v>58</v>
      </c>
    </row>
    <row r="9049">
      <c r="A9049">
        <f>MOD(9049-1,101)</f>
        <v>59</v>
      </c>
    </row>
    <row r="9050">
      <c r="A9050">
        <f>MOD(9050-1,101)</f>
        <v>60</v>
      </c>
    </row>
    <row r="9051">
      <c r="A9051">
        <f>MOD(9051-1,101)</f>
        <v>61</v>
      </c>
    </row>
    <row r="9052">
      <c r="A9052">
        <f>MOD(9052-1,101)</f>
        <v>62</v>
      </c>
    </row>
    <row r="9053">
      <c r="A9053">
        <f>MOD(9053-1,101)</f>
        <v>63</v>
      </c>
    </row>
    <row r="9054">
      <c r="A9054">
        <f>MOD(9054-1,101)</f>
        <v>64</v>
      </c>
    </row>
    <row r="9055">
      <c r="A9055">
        <f>MOD(9055-1,101)</f>
        <v>65</v>
      </c>
    </row>
    <row r="9056">
      <c r="A9056">
        <f>MOD(9056-1,101)</f>
        <v>66</v>
      </c>
    </row>
    <row r="9057">
      <c r="A9057">
        <f>MOD(9057-1,101)</f>
        <v>67</v>
      </c>
    </row>
    <row r="9058">
      <c r="A9058">
        <f>MOD(9058-1,101)</f>
        <v>68</v>
      </c>
    </row>
    <row r="9059">
      <c r="A9059">
        <f>MOD(9059-1,101)</f>
        <v>69</v>
      </c>
    </row>
    <row r="9060">
      <c r="A9060">
        <f>MOD(9060-1,101)</f>
        <v>70</v>
      </c>
    </row>
    <row r="9061">
      <c r="A9061">
        <f>MOD(9061-1,101)</f>
        <v>71</v>
      </c>
    </row>
    <row r="9062">
      <c r="A9062">
        <f>MOD(9062-1,101)</f>
        <v>72</v>
      </c>
    </row>
    <row r="9063">
      <c r="A9063">
        <f>MOD(9063-1,101)</f>
        <v>73</v>
      </c>
    </row>
    <row r="9064">
      <c r="A9064">
        <f>MOD(9064-1,101)</f>
        <v>74</v>
      </c>
    </row>
    <row r="9065">
      <c r="A9065">
        <f>MOD(9065-1,101)</f>
        <v>75</v>
      </c>
    </row>
    <row r="9066">
      <c r="A9066">
        <f>MOD(9066-1,101)</f>
        <v>76</v>
      </c>
    </row>
    <row r="9067">
      <c r="A9067">
        <f>MOD(9067-1,101)</f>
        <v>77</v>
      </c>
    </row>
    <row r="9068">
      <c r="A9068">
        <f>MOD(9068-1,101)</f>
        <v>78</v>
      </c>
    </row>
    <row r="9069">
      <c r="A9069">
        <f>MOD(9069-1,101)</f>
        <v>79</v>
      </c>
    </row>
    <row r="9070">
      <c r="A9070">
        <f>MOD(9070-1,101)</f>
        <v>80</v>
      </c>
    </row>
    <row r="9071">
      <c r="A9071">
        <f>MOD(9071-1,101)</f>
        <v>81</v>
      </c>
    </row>
    <row r="9072">
      <c r="A9072">
        <f>MOD(9072-1,101)</f>
        <v>82</v>
      </c>
    </row>
    <row r="9073">
      <c r="A9073">
        <f>MOD(9073-1,101)</f>
        <v>83</v>
      </c>
    </row>
    <row r="9074">
      <c r="A9074">
        <f>MOD(9074-1,101)</f>
        <v>84</v>
      </c>
    </row>
    <row r="9075">
      <c r="A9075">
        <f>MOD(9075-1,101)</f>
        <v>85</v>
      </c>
    </row>
    <row r="9076">
      <c r="A9076">
        <f>MOD(9076-1,101)</f>
        <v>86</v>
      </c>
    </row>
    <row r="9077">
      <c r="A9077">
        <f>MOD(9077-1,101)</f>
        <v>87</v>
      </c>
    </row>
    <row r="9078">
      <c r="A9078">
        <f>MOD(9078-1,101)</f>
        <v>88</v>
      </c>
    </row>
    <row r="9079">
      <c r="A9079">
        <f>MOD(9079-1,101)</f>
        <v>89</v>
      </c>
    </row>
    <row r="9080">
      <c r="A9080">
        <f>MOD(9080-1,101)</f>
        <v>90</v>
      </c>
    </row>
    <row r="9081">
      <c r="A9081">
        <f>MOD(9081-1,101)</f>
        <v>91</v>
      </c>
    </row>
    <row r="9082">
      <c r="A9082">
        <f>MOD(9082-1,101)</f>
        <v>92</v>
      </c>
    </row>
    <row r="9083">
      <c r="A9083">
        <f>MOD(9083-1,101)</f>
        <v>93</v>
      </c>
    </row>
    <row r="9084">
      <c r="A9084">
        <f>MOD(9084-1,101)</f>
        <v>94</v>
      </c>
    </row>
    <row r="9085">
      <c r="A9085">
        <f>MOD(9085-1,101)</f>
        <v>95</v>
      </c>
    </row>
    <row r="9086">
      <c r="A9086">
        <f>MOD(9086-1,101)</f>
        <v>96</v>
      </c>
    </row>
    <row r="9087">
      <c r="A9087">
        <f>MOD(9087-1,101)</f>
        <v>97</v>
      </c>
    </row>
    <row r="9088">
      <c r="A9088">
        <f>MOD(9088-1,101)</f>
        <v>98</v>
      </c>
    </row>
    <row r="9089">
      <c r="A9089">
        <f>MOD(9089-1,101)</f>
        <v>99</v>
      </c>
    </row>
    <row r="9090">
      <c r="A9090">
        <f>MOD(9090-1,101)</f>
        <v>100</v>
      </c>
    </row>
    <row r="9091">
      <c r="A9091">
        <f>MOD(9091-1,101)</f>
        <v>0</v>
      </c>
    </row>
    <row r="9092">
      <c r="A9092">
        <f>MOD(9092-1,101)</f>
        <v>1</v>
      </c>
    </row>
    <row r="9093">
      <c r="A9093">
        <f>MOD(9093-1,101)</f>
        <v>2</v>
      </c>
    </row>
    <row r="9094">
      <c r="A9094">
        <f>MOD(9094-1,101)</f>
        <v>3</v>
      </c>
    </row>
    <row r="9095">
      <c r="A9095">
        <f>MOD(9095-1,101)</f>
        <v>4</v>
      </c>
    </row>
    <row r="9096">
      <c r="A9096">
        <f>MOD(9096-1,101)</f>
        <v>5</v>
      </c>
    </row>
    <row r="9097">
      <c r="A9097">
        <f>MOD(9097-1,101)</f>
        <v>6</v>
      </c>
    </row>
    <row r="9098">
      <c r="A9098">
        <f>MOD(9098-1,101)</f>
        <v>7</v>
      </c>
    </row>
    <row r="9099">
      <c r="A9099">
        <f>MOD(9099-1,101)</f>
        <v>8</v>
      </c>
    </row>
    <row r="9100">
      <c r="A9100">
        <f>MOD(9100-1,101)</f>
        <v>9</v>
      </c>
    </row>
    <row r="9101">
      <c r="A9101">
        <f>MOD(9101-1,101)</f>
        <v>10</v>
      </c>
    </row>
    <row r="9102">
      <c r="A9102">
        <f>MOD(9102-1,101)</f>
        <v>11</v>
      </c>
    </row>
    <row r="9103">
      <c r="A9103">
        <f>MOD(9103-1,101)</f>
        <v>12</v>
      </c>
    </row>
    <row r="9104">
      <c r="A9104">
        <f>MOD(9104-1,101)</f>
        <v>13</v>
      </c>
    </row>
    <row r="9105">
      <c r="A9105">
        <f>MOD(9105-1,101)</f>
        <v>14</v>
      </c>
    </row>
    <row r="9106">
      <c r="A9106">
        <f>MOD(9106-1,101)</f>
        <v>15</v>
      </c>
    </row>
    <row r="9107">
      <c r="A9107">
        <f>MOD(9107-1,101)</f>
        <v>16</v>
      </c>
    </row>
    <row r="9108">
      <c r="A9108">
        <f>MOD(9108-1,101)</f>
        <v>17</v>
      </c>
    </row>
    <row r="9109">
      <c r="A9109">
        <f>MOD(9109-1,101)</f>
        <v>18</v>
      </c>
    </row>
    <row r="9110">
      <c r="A9110">
        <f>MOD(9110-1,101)</f>
        <v>19</v>
      </c>
    </row>
    <row r="9111">
      <c r="A9111">
        <f>MOD(9111-1,101)</f>
        <v>20</v>
      </c>
    </row>
    <row r="9112">
      <c r="A9112">
        <f>MOD(9112-1,101)</f>
        <v>21</v>
      </c>
    </row>
    <row r="9113">
      <c r="A9113">
        <f>MOD(9113-1,101)</f>
        <v>22</v>
      </c>
    </row>
    <row r="9114">
      <c r="A9114">
        <f>MOD(9114-1,101)</f>
        <v>23</v>
      </c>
    </row>
    <row r="9115">
      <c r="A9115">
        <f>MOD(9115-1,101)</f>
        <v>24</v>
      </c>
    </row>
    <row r="9116">
      <c r="A9116">
        <f>MOD(9116-1,101)</f>
        <v>25</v>
      </c>
    </row>
    <row r="9117">
      <c r="A9117">
        <f>MOD(9117-1,101)</f>
        <v>26</v>
      </c>
    </row>
    <row r="9118">
      <c r="A9118">
        <f>MOD(9118-1,101)</f>
        <v>27</v>
      </c>
    </row>
    <row r="9119">
      <c r="A9119">
        <f>MOD(9119-1,101)</f>
        <v>28</v>
      </c>
    </row>
    <row r="9120">
      <c r="A9120">
        <f>MOD(9120-1,101)</f>
        <v>29</v>
      </c>
    </row>
    <row r="9121">
      <c r="A9121">
        <f>MOD(9121-1,101)</f>
        <v>30</v>
      </c>
    </row>
    <row r="9122">
      <c r="A9122">
        <f>MOD(9122-1,101)</f>
        <v>31</v>
      </c>
    </row>
    <row r="9123">
      <c r="A9123">
        <f>MOD(9123-1,101)</f>
        <v>32</v>
      </c>
    </row>
    <row r="9124">
      <c r="A9124">
        <f>MOD(9124-1,101)</f>
        <v>33</v>
      </c>
    </row>
    <row r="9125">
      <c r="A9125">
        <f>MOD(9125-1,101)</f>
        <v>34</v>
      </c>
    </row>
    <row r="9126">
      <c r="A9126">
        <f>MOD(9126-1,101)</f>
        <v>35</v>
      </c>
    </row>
    <row r="9127">
      <c r="A9127">
        <f>MOD(9127-1,101)</f>
        <v>36</v>
      </c>
    </row>
    <row r="9128">
      <c r="A9128">
        <f>MOD(9128-1,101)</f>
        <v>37</v>
      </c>
    </row>
    <row r="9129">
      <c r="A9129">
        <f>MOD(9129-1,101)</f>
        <v>38</v>
      </c>
    </row>
    <row r="9130">
      <c r="A9130">
        <f>MOD(9130-1,101)</f>
        <v>39</v>
      </c>
    </row>
    <row r="9131">
      <c r="A9131">
        <f>MOD(9131-1,101)</f>
        <v>40</v>
      </c>
    </row>
    <row r="9132">
      <c r="A9132">
        <f>MOD(9132-1,101)</f>
        <v>41</v>
      </c>
    </row>
    <row r="9133">
      <c r="A9133">
        <f>MOD(9133-1,101)</f>
        <v>42</v>
      </c>
    </row>
    <row r="9134">
      <c r="A9134">
        <f>MOD(9134-1,101)</f>
        <v>43</v>
      </c>
    </row>
    <row r="9135">
      <c r="A9135">
        <f>MOD(9135-1,101)</f>
        <v>44</v>
      </c>
    </row>
    <row r="9136">
      <c r="A9136">
        <f>MOD(9136-1,101)</f>
        <v>45</v>
      </c>
    </row>
    <row r="9137">
      <c r="A9137">
        <f>MOD(9137-1,101)</f>
        <v>46</v>
      </c>
    </row>
    <row r="9138">
      <c r="A9138">
        <f>MOD(9138-1,101)</f>
        <v>47</v>
      </c>
    </row>
    <row r="9139">
      <c r="A9139">
        <f>MOD(9139-1,101)</f>
        <v>48</v>
      </c>
    </row>
    <row r="9140">
      <c r="A9140">
        <f>MOD(9140-1,101)</f>
        <v>49</v>
      </c>
    </row>
    <row r="9141">
      <c r="A9141">
        <f>MOD(9141-1,101)</f>
        <v>50</v>
      </c>
    </row>
    <row r="9142">
      <c r="A9142">
        <f>MOD(9142-1,101)</f>
        <v>51</v>
      </c>
    </row>
    <row r="9143">
      <c r="A9143">
        <f>MOD(9143-1,101)</f>
        <v>52</v>
      </c>
    </row>
    <row r="9144">
      <c r="A9144">
        <f>MOD(9144-1,101)</f>
        <v>53</v>
      </c>
    </row>
    <row r="9145">
      <c r="A9145">
        <f>MOD(9145-1,101)</f>
        <v>54</v>
      </c>
    </row>
    <row r="9146">
      <c r="A9146">
        <f>MOD(9146-1,101)</f>
        <v>55</v>
      </c>
    </row>
    <row r="9147">
      <c r="A9147">
        <f>MOD(9147-1,101)</f>
        <v>56</v>
      </c>
    </row>
    <row r="9148">
      <c r="A9148">
        <f>MOD(9148-1,101)</f>
        <v>57</v>
      </c>
    </row>
    <row r="9149">
      <c r="A9149">
        <f>MOD(9149-1,101)</f>
        <v>58</v>
      </c>
    </row>
    <row r="9150">
      <c r="A9150">
        <f>MOD(9150-1,101)</f>
        <v>59</v>
      </c>
    </row>
    <row r="9151">
      <c r="A9151">
        <f>MOD(9151-1,101)</f>
        <v>60</v>
      </c>
    </row>
    <row r="9152">
      <c r="A9152">
        <f>MOD(9152-1,101)</f>
        <v>61</v>
      </c>
    </row>
    <row r="9153">
      <c r="A9153">
        <f>MOD(9153-1,101)</f>
        <v>62</v>
      </c>
    </row>
    <row r="9154">
      <c r="A9154">
        <f>MOD(9154-1,101)</f>
        <v>63</v>
      </c>
    </row>
    <row r="9155">
      <c r="A9155">
        <f>MOD(9155-1,101)</f>
        <v>64</v>
      </c>
    </row>
    <row r="9156">
      <c r="A9156">
        <f>MOD(9156-1,101)</f>
        <v>65</v>
      </c>
    </row>
    <row r="9157">
      <c r="A9157">
        <f>MOD(9157-1,101)</f>
        <v>66</v>
      </c>
    </row>
    <row r="9158">
      <c r="A9158">
        <f>MOD(9158-1,101)</f>
        <v>67</v>
      </c>
    </row>
    <row r="9159">
      <c r="A9159">
        <f>MOD(9159-1,101)</f>
        <v>68</v>
      </c>
    </row>
    <row r="9160">
      <c r="A9160">
        <f>MOD(9160-1,101)</f>
        <v>69</v>
      </c>
    </row>
    <row r="9161">
      <c r="A9161">
        <f>MOD(9161-1,101)</f>
        <v>70</v>
      </c>
    </row>
    <row r="9162">
      <c r="A9162">
        <f>MOD(9162-1,101)</f>
        <v>71</v>
      </c>
    </row>
    <row r="9163">
      <c r="A9163">
        <f>MOD(9163-1,101)</f>
        <v>72</v>
      </c>
    </row>
    <row r="9164">
      <c r="A9164">
        <f>MOD(9164-1,101)</f>
        <v>73</v>
      </c>
    </row>
    <row r="9165">
      <c r="A9165">
        <f>MOD(9165-1,101)</f>
        <v>74</v>
      </c>
    </row>
    <row r="9166">
      <c r="A9166">
        <f>MOD(9166-1,101)</f>
        <v>75</v>
      </c>
    </row>
    <row r="9167">
      <c r="A9167">
        <f>MOD(9167-1,101)</f>
        <v>76</v>
      </c>
    </row>
    <row r="9168">
      <c r="A9168">
        <f>MOD(9168-1,101)</f>
        <v>77</v>
      </c>
    </row>
    <row r="9169">
      <c r="A9169">
        <f>MOD(9169-1,101)</f>
        <v>78</v>
      </c>
    </row>
    <row r="9170">
      <c r="A9170">
        <f>MOD(9170-1,101)</f>
        <v>79</v>
      </c>
    </row>
    <row r="9171">
      <c r="A9171">
        <f>MOD(9171-1,101)</f>
        <v>80</v>
      </c>
    </row>
    <row r="9172">
      <c r="A9172">
        <f>MOD(9172-1,101)</f>
        <v>81</v>
      </c>
    </row>
    <row r="9173">
      <c r="A9173">
        <f>MOD(9173-1,101)</f>
        <v>82</v>
      </c>
    </row>
    <row r="9174">
      <c r="A9174">
        <f>MOD(9174-1,101)</f>
        <v>83</v>
      </c>
    </row>
    <row r="9175">
      <c r="A9175">
        <f>MOD(9175-1,101)</f>
        <v>84</v>
      </c>
    </row>
    <row r="9176">
      <c r="A9176">
        <f>MOD(9176-1,101)</f>
        <v>85</v>
      </c>
    </row>
    <row r="9177">
      <c r="A9177">
        <f>MOD(9177-1,101)</f>
        <v>86</v>
      </c>
    </row>
    <row r="9178">
      <c r="A9178">
        <f>MOD(9178-1,101)</f>
        <v>87</v>
      </c>
    </row>
    <row r="9179">
      <c r="A9179">
        <f>MOD(9179-1,101)</f>
        <v>88</v>
      </c>
    </row>
    <row r="9180">
      <c r="A9180">
        <f>MOD(9180-1,101)</f>
        <v>89</v>
      </c>
    </row>
    <row r="9181">
      <c r="A9181">
        <f>MOD(9181-1,101)</f>
        <v>90</v>
      </c>
    </row>
    <row r="9182">
      <c r="A9182">
        <f>MOD(9182-1,101)</f>
        <v>91</v>
      </c>
    </row>
    <row r="9183">
      <c r="A9183">
        <f>MOD(9183-1,101)</f>
        <v>92</v>
      </c>
    </row>
    <row r="9184">
      <c r="A9184">
        <f>MOD(9184-1,101)</f>
        <v>93</v>
      </c>
    </row>
    <row r="9185">
      <c r="A9185">
        <f>MOD(9185-1,101)</f>
        <v>94</v>
      </c>
    </row>
    <row r="9186">
      <c r="A9186">
        <f>MOD(9186-1,101)</f>
        <v>95</v>
      </c>
    </row>
    <row r="9187">
      <c r="A9187">
        <f>MOD(9187-1,101)</f>
        <v>96</v>
      </c>
    </row>
    <row r="9188">
      <c r="A9188">
        <f>MOD(9188-1,101)</f>
        <v>97</v>
      </c>
    </row>
    <row r="9189">
      <c r="A9189">
        <f>MOD(9189-1,101)</f>
        <v>98</v>
      </c>
    </row>
    <row r="9190">
      <c r="A9190">
        <f>MOD(9190-1,101)</f>
        <v>99</v>
      </c>
    </row>
    <row r="9191">
      <c r="A9191">
        <f>MOD(9191-1,101)</f>
        <v>100</v>
      </c>
    </row>
    <row r="9192">
      <c r="A9192">
        <f>MOD(9192-1,101)</f>
        <v>0</v>
      </c>
    </row>
    <row r="9193">
      <c r="A9193">
        <f>MOD(9193-1,101)</f>
        <v>1</v>
      </c>
    </row>
    <row r="9194">
      <c r="A9194">
        <f>MOD(9194-1,101)</f>
        <v>2</v>
      </c>
    </row>
    <row r="9195">
      <c r="A9195">
        <f>MOD(9195-1,101)</f>
        <v>3</v>
      </c>
    </row>
    <row r="9196">
      <c r="A9196">
        <f>MOD(9196-1,101)</f>
        <v>4</v>
      </c>
    </row>
    <row r="9197">
      <c r="A9197">
        <f>MOD(9197-1,101)</f>
        <v>5</v>
      </c>
    </row>
    <row r="9198">
      <c r="A9198">
        <f>MOD(9198-1,101)</f>
        <v>6</v>
      </c>
    </row>
    <row r="9199">
      <c r="A9199">
        <f>MOD(9199-1,101)</f>
        <v>7</v>
      </c>
    </row>
    <row r="9200">
      <c r="A9200">
        <f>MOD(9200-1,101)</f>
        <v>8</v>
      </c>
    </row>
    <row r="9201">
      <c r="A9201">
        <f>MOD(9201-1,101)</f>
        <v>9</v>
      </c>
    </row>
    <row r="9202">
      <c r="A9202">
        <f>MOD(9202-1,101)</f>
        <v>10</v>
      </c>
    </row>
    <row r="9203">
      <c r="A9203">
        <f>MOD(9203-1,101)</f>
        <v>11</v>
      </c>
    </row>
    <row r="9204">
      <c r="A9204">
        <f>MOD(9204-1,101)</f>
        <v>12</v>
      </c>
    </row>
    <row r="9205">
      <c r="A9205">
        <f>MOD(9205-1,101)</f>
        <v>13</v>
      </c>
    </row>
    <row r="9206">
      <c r="A9206">
        <f>MOD(9206-1,101)</f>
        <v>14</v>
      </c>
    </row>
    <row r="9207">
      <c r="A9207">
        <f>MOD(9207-1,101)</f>
        <v>15</v>
      </c>
    </row>
    <row r="9208">
      <c r="A9208">
        <f>MOD(9208-1,101)</f>
        <v>16</v>
      </c>
    </row>
    <row r="9209">
      <c r="A9209">
        <f>MOD(9209-1,101)</f>
        <v>17</v>
      </c>
    </row>
    <row r="9210">
      <c r="A9210">
        <f>MOD(9210-1,101)</f>
        <v>18</v>
      </c>
    </row>
    <row r="9211">
      <c r="A9211">
        <f>MOD(9211-1,101)</f>
        <v>19</v>
      </c>
    </row>
    <row r="9212">
      <c r="A9212">
        <f>MOD(9212-1,101)</f>
        <v>20</v>
      </c>
    </row>
    <row r="9213">
      <c r="A9213">
        <f>MOD(9213-1,101)</f>
        <v>21</v>
      </c>
    </row>
    <row r="9214">
      <c r="A9214">
        <f>MOD(9214-1,101)</f>
        <v>22</v>
      </c>
    </row>
    <row r="9215">
      <c r="A9215">
        <f>MOD(9215-1,101)</f>
        <v>23</v>
      </c>
    </row>
    <row r="9216">
      <c r="A9216">
        <f>MOD(9216-1,101)</f>
        <v>24</v>
      </c>
    </row>
    <row r="9217">
      <c r="A9217">
        <f>MOD(9217-1,101)</f>
        <v>25</v>
      </c>
    </row>
    <row r="9218">
      <c r="A9218">
        <f>MOD(9218-1,101)</f>
        <v>26</v>
      </c>
    </row>
    <row r="9219">
      <c r="A9219">
        <f>MOD(9219-1,101)</f>
        <v>27</v>
      </c>
    </row>
    <row r="9220">
      <c r="A9220">
        <f>MOD(9220-1,101)</f>
        <v>28</v>
      </c>
    </row>
    <row r="9221">
      <c r="A9221">
        <f>MOD(9221-1,101)</f>
        <v>29</v>
      </c>
    </row>
    <row r="9222">
      <c r="A9222">
        <f>MOD(9222-1,101)</f>
        <v>30</v>
      </c>
    </row>
    <row r="9223">
      <c r="A9223">
        <f>MOD(9223-1,101)</f>
        <v>31</v>
      </c>
    </row>
    <row r="9224">
      <c r="A9224">
        <f>MOD(9224-1,101)</f>
        <v>32</v>
      </c>
    </row>
    <row r="9225">
      <c r="A9225">
        <f>MOD(9225-1,101)</f>
        <v>33</v>
      </c>
    </row>
    <row r="9226">
      <c r="A9226">
        <f>MOD(9226-1,101)</f>
        <v>34</v>
      </c>
    </row>
    <row r="9227">
      <c r="A9227">
        <f>MOD(9227-1,101)</f>
        <v>35</v>
      </c>
    </row>
    <row r="9228">
      <c r="A9228">
        <f>MOD(9228-1,101)</f>
        <v>36</v>
      </c>
    </row>
    <row r="9229">
      <c r="A9229">
        <f>MOD(9229-1,101)</f>
        <v>37</v>
      </c>
    </row>
    <row r="9230">
      <c r="A9230">
        <f>MOD(9230-1,101)</f>
        <v>38</v>
      </c>
    </row>
    <row r="9231">
      <c r="A9231">
        <f>MOD(9231-1,101)</f>
        <v>39</v>
      </c>
    </row>
    <row r="9232">
      <c r="A9232">
        <f>MOD(9232-1,101)</f>
        <v>40</v>
      </c>
    </row>
    <row r="9233">
      <c r="A9233">
        <f>MOD(9233-1,101)</f>
        <v>41</v>
      </c>
    </row>
    <row r="9234">
      <c r="A9234">
        <f>MOD(9234-1,101)</f>
        <v>42</v>
      </c>
    </row>
    <row r="9235">
      <c r="A9235">
        <f>MOD(9235-1,101)</f>
        <v>43</v>
      </c>
    </row>
    <row r="9236">
      <c r="A9236">
        <f>MOD(9236-1,101)</f>
        <v>44</v>
      </c>
    </row>
    <row r="9237">
      <c r="A9237">
        <f>MOD(9237-1,101)</f>
        <v>45</v>
      </c>
    </row>
    <row r="9238">
      <c r="A9238">
        <f>MOD(9238-1,101)</f>
        <v>46</v>
      </c>
    </row>
    <row r="9239">
      <c r="A9239">
        <f>MOD(9239-1,101)</f>
        <v>47</v>
      </c>
    </row>
    <row r="9240">
      <c r="A9240">
        <f>MOD(9240-1,101)</f>
        <v>48</v>
      </c>
    </row>
    <row r="9241">
      <c r="A9241">
        <f>MOD(9241-1,101)</f>
        <v>49</v>
      </c>
    </row>
    <row r="9242">
      <c r="A9242">
        <f>MOD(9242-1,101)</f>
        <v>50</v>
      </c>
    </row>
    <row r="9243">
      <c r="A9243">
        <f>MOD(9243-1,101)</f>
        <v>51</v>
      </c>
    </row>
    <row r="9244">
      <c r="A9244">
        <f>MOD(9244-1,101)</f>
        <v>52</v>
      </c>
    </row>
    <row r="9245">
      <c r="A9245">
        <f>MOD(9245-1,101)</f>
        <v>53</v>
      </c>
    </row>
    <row r="9246">
      <c r="A9246">
        <f>MOD(9246-1,101)</f>
        <v>54</v>
      </c>
    </row>
    <row r="9247">
      <c r="A9247">
        <f>MOD(9247-1,101)</f>
        <v>55</v>
      </c>
    </row>
    <row r="9248">
      <c r="A9248">
        <f>MOD(9248-1,101)</f>
        <v>56</v>
      </c>
    </row>
    <row r="9249">
      <c r="A9249">
        <f>MOD(9249-1,101)</f>
        <v>57</v>
      </c>
    </row>
    <row r="9250">
      <c r="A9250">
        <f>MOD(9250-1,101)</f>
        <v>58</v>
      </c>
    </row>
    <row r="9251">
      <c r="A9251">
        <f>MOD(9251-1,101)</f>
        <v>59</v>
      </c>
    </row>
    <row r="9252">
      <c r="A9252">
        <f>MOD(9252-1,101)</f>
        <v>60</v>
      </c>
    </row>
    <row r="9253">
      <c r="A9253">
        <f>MOD(9253-1,101)</f>
        <v>61</v>
      </c>
    </row>
    <row r="9254">
      <c r="A9254">
        <f>MOD(9254-1,101)</f>
        <v>62</v>
      </c>
    </row>
    <row r="9255">
      <c r="A9255">
        <f>MOD(9255-1,101)</f>
        <v>63</v>
      </c>
    </row>
    <row r="9256">
      <c r="A9256">
        <f>MOD(9256-1,101)</f>
        <v>64</v>
      </c>
    </row>
    <row r="9257">
      <c r="A9257">
        <f>MOD(9257-1,101)</f>
        <v>65</v>
      </c>
    </row>
    <row r="9258">
      <c r="A9258">
        <f>MOD(9258-1,101)</f>
        <v>66</v>
      </c>
    </row>
    <row r="9259">
      <c r="A9259">
        <f>MOD(9259-1,101)</f>
        <v>67</v>
      </c>
    </row>
    <row r="9260">
      <c r="A9260">
        <f>MOD(9260-1,101)</f>
        <v>68</v>
      </c>
    </row>
    <row r="9261">
      <c r="A9261">
        <f>MOD(9261-1,101)</f>
        <v>69</v>
      </c>
    </row>
    <row r="9262">
      <c r="A9262">
        <f>MOD(9262-1,101)</f>
        <v>70</v>
      </c>
    </row>
    <row r="9263">
      <c r="A9263">
        <f>MOD(9263-1,101)</f>
        <v>71</v>
      </c>
    </row>
    <row r="9264">
      <c r="A9264">
        <f>MOD(9264-1,101)</f>
        <v>72</v>
      </c>
    </row>
    <row r="9265">
      <c r="A9265">
        <f>MOD(9265-1,101)</f>
        <v>73</v>
      </c>
    </row>
    <row r="9266">
      <c r="A9266">
        <f>MOD(9266-1,101)</f>
        <v>74</v>
      </c>
    </row>
    <row r="9267">
      <c r="A9267">
        <f>MOD(9267-1,101)</f>
        <v>75</v>
      </c>
    </row>
    <row r="9268">
      <c r="A9268">
        <f>MOD(9268-1,101)</f>
        <v>76</v>
      </c>
    </row>
    <row r="9269">
      <c r="A9269">
        <f>MOD(9269-1,101)</f>
        <v>77</v>
      </c>
    </row>
    <row r="9270">
      <c r="A9270">
        <f>MOD(9270-1,101)</f>
        <v>78</v>
      </c>
    </row>
    <row r="9271">
      <c r="A9271">
        <f>MOD(9271-1,101)</f>
        <v>79</v>
      </c>
    </row>
    <row r="9272">
      <c r="A9272">
        <f>MOD(9272-1,101)</f>
        <v>80</v>
      </c>
    </row>
    <row r="9273">
      <c r="A9273">
        <f>MOD(9273-1,101)</f>
        <v>81</v>
      </c>
    </row>
    <row r="9274">
      <c r="A9274">
        <f>MOD(9274-1,101)</f>
        <v>82</v>
      </c>
    </row>
    <row r="9275">
      <c r="A9275">
        <f>MOD(9275-1,101)</f>
        <v>83</v>
      </c>
    </row>
    <row r="9276">
      <c r="A9276">
        <f>MOD(9276-1,101)</f>
        <v>84</v>
      </c>
    </row>
    <row r="9277">
      <c r="A9277">
        <f>MOD(9277-1,101)</f>
        <v>85</v>
      </c>
    </row>
    <row r="9278">
      <c r="A9278">
        <f>MOD(9278-1,101)</f>
        <v>86</v>
      </c>
    </row>
    <row r="9279">
      <c r="A9279">
        <f>MOD(9279-1,101)</f>
        <v>87</v>
      </c>
    </row>
    <row r="9280">
      <c r="A9280">
        <f>MOD(9280-1,101)</f>
        <v>88</v>
      </c>
    </row>
    <row r="9281">
      <c r="A9281">
        <f>MOD(9281-1,101)</f>
        <v>89</v>
      </c>
    </row>
    <row r="9282">
      <c r="A9282">
        <f>MOD(9282-1,101)</f>
        <v>90</v>
      </c>
    </row>
    <row r="9283">
      <c r="A9283">
        <f>MOD(9283-1,101)</f>
        <v>91</v>
      </c>
    </row>
    <row r="9284">
      <c r="A9284">
        <f>MOD(9284-1,101)</f>
        <v>92</v>
      </c>
    </row>
    <row r="9285">
      <c r="A9285">
        <f>MOD(9285-1,101)</f>
        <v>93</v>
      </c>
    </row>
    <row r="9286">
      <c r="A9286">
        <f>MOD(9286-1,101)</f>
        <v>94</v>
      </c>
    </row>
    <row r="9287">
      <c r="A9287">
        <f>MOD(9287-1,101)</f>
        <v>95</v>
      </c>
    </row>
    <row r="9288">
      <c r="A9288">
        <f>MOD(9288-1,101)</f>
        <v>96</v>
      </c>
    </row>
    <row r="9289">
      <c r="A9289">
        <f>MOD(9289-1,101)</f>
        <v>97</v>
      </c>
    </row>
    <row r="9290">
      <c r="A9290">
        <f>MOD(9290-1,101)</f>
        <v>98</v>
      </c>
    </row>
    <row r="9291">
      <c r="A9291">
        <f>MOD(9291-1,101)</f>
        <v>99</v>
      </c>
    </row>
    <row r="9292">
      <c r="A9292">
        <f>MOD(9292-1,101)</f>
        <v>100</v>
      </c>
    </row>
    <row r="9293">
      <c r="A9293">
        <f>MOD(9293-1,101)</f>
        <v>0</v>
      </c>
    </row>
    <row r="9294">
      <c r="A9294">
        <f>MOD(9294-1,101)</f>
        <v>1</v>
      </c>
    </row>
    <row r="9295">
      <c r="A9295">
        <f>MOD(9295-1,101)</f>
        <v>2</v>
      </c>
    </row>
    <row r="9296">
      <c r="A9296">
        <f>MOD(9296-1,101)</f>
        <v>3</v>
      </c>
    </row>
    <row r="9297">
      <c r="A9297">
        <f>MOD(9297-1,101)</f>
        <v>4</v>
      </c>
    </row>
    <row r="9298">
      <c r="A9298">
        <f>MOD(9298-1,101)</f>
        <v>5</v>
      </c>
    </row>
    <row r="9299">
      <c r="A9299">
        <f>MOD(9299-1,101)</f>
        <v>6</v>
      </c>
    </row>
    <row r="9300">
      <c r="A9300">
        <f>MOD(9300-1,101)</f>
        <v>7</v>
      </c>
    </row>
    <row r="9301">
      <c r="A9301">
        <f>MOD(9301-1,101)</f>
        <v>8</v>
      </c>
    </row>
    <row r="9302">
      <c r="A9302">
        <f>MOD(9302-1,101)</f>
        <v>9</v>
      </c>
    </row>
    <row r="9303">
      <c r="A9303">
        <f>MOD(9303-1,101)</f>
        <v>10</v>
      </c>
    </row>
    <row r="9304">
      <c r="A9304">
        <f>MOD(9304-1,101)</f>
        <v>11</v>
      </c>
    </row>
    <row r="9305">
      <c r="A9305">
        <f>MOD(9305-1,101)</f>
        <v>12</v>
      </c>
    </row>
    <row r="9306">
      <c r="A9306">
        <f>MOD(9306-1,101)</f>
        <v>13</v>
      </c>
    </row>
    <row r="9307">
      <c r="A9307">
        <f>MOD(9307-1,101)</f>
        <v>14</v>
      </c>
    </row>
    <row r="9308">
      <c r="A9308">
        <f>MOD(9308-1,101)</f>
        <v>15</v>
      </c>
    </row>
    <row r="9309">
      <c r="A9309">
        <f>MOD(9309-1,101)</f>
        <v>16</v>
      </c>
    </row>
    <row r="9310">
      <c r="A9310">
        <f>MOD(9310-1,101)</f>
        <v>17</v>
      </c>
    </row>
    <row r="9311">
      <c r="A9311">
        <f>MOD(9311-1,101)</f>
        <v>18</v>
      </c>
    </row>
    <row r="9312">
      <c r="A9312">
        <f>MOD(9312-1,101)</f>
        <v>19</v>
      </c>
    </row>
    <row r="9313">
      <c r="A9313">
        <f>MOD(9313-1,101)</f>
        <v>20</v>
      </c>
    </row>
    <row r="9314">
      <c r="A9314">
        <f>MOD(9314-1,101)</f>
        <v>21</v>
      </c>
    </row>
    <row r="9315">
      <c r="A9315">
        <f>MOD(9315-1,101)</f>
        <v>22</v>
      </c>
    </row>
    <row r="9316">
      <c r="A9316">
        <f>MOD(9316-1,101)</f>
        <v>23</v>
      </c>
    </row>
    <row r="9317">
      <c r="A9317">
        <f>MOD(9317-1,101)</f>
        <v>24</v>
      </c>
    </row>
    <row r="9318">
      <c r="A9318">
        <f>MOD(9318-1,101)</f>
        <v>25</v>
      </c>
    </row>
    <row r="9319">
      <c r="A9319">
        <f>MOD(9319-1,101)</f>
        <v>26</v>
      </c>
    </row>
    <row r="9320">
      <c r="A9320">
        <f>MOD(9320-1,101)</f>
        <v>27</v>
      </c>
    </row>
    <row r="9321">
      <c r="A9321">
        <f>MOD(9321-1,101)</f>
        <v>28</v>
      </c>
    </row>
    <row r="9322">
      <c r="A9322">
        <f>MOD(9322-1,101)</f>
        <v>29</v>
      </c>
    </row>
    <row r="9323">
      <c r="A9323">
        <f>MOD(9323-1,101)</f>
        <v>30</v>
      </c>
    </row>
    <row r="9324">
      <c r="A9324">
        <f>MOD(9324-1,101)</f>
        <v>31</v>
      </c>
    </row>
    <row r="9325">
      <c r="A9325">
        <f>MOD(9325-1,101)</f>
        <v>32</v>
      </c>
    </row>
    <row r="9326">
      <c r="A9326">
        <f>MOD(9326-1,101)</f>
        <v>33</v>
      </c>
    </row>
    <row r="9327">
      <c r="A9327">
        <f>MOD(9327-1,101)</f>
        <v>34</v>
      </c>
    </row>
    <row r="9328">
      <c r="A9328">
        <f>MOD(9328-1,101)</f>
        <v>35</v>
      </c>
    </row>
    <row r="9329">
      <c r="A9329">
        <f>MOD(9329-1,101)</f>
        <v>36</v>
      </c>
    </row>
    <row r="9330">
      <c r="A9330">
        <f>MOD(9330-1,101)</f>
        <v>37</v>
      </c>
    </row>
    <row r="9331">
      <c r="A9331">
        <f>MOD(9331-1,101)</f>
        <v>38</v>
      </c>
    </row>
    <row r="9332">
      <c r="A9332">
        <f>MOD(9332-1,101)</f>
        <v>39</v>
      </c>
    </row>
    <row r="9333">
      <c r="A9333">
        <f>MOD(9333-1,101)</f>
        <v>40</v>
      </c>
    </row>
    <row r="9334">
      <c r="A9334">
        <f>MOD(9334-1,101)</f>
        <v>41</v>
      </c>
    </row>
    <row r="9335">
      <c r="A9335">
        <f>MOD(9335-1,101)</f>
        <v>42</v>
      </c>
    </row>
    <row r="9336">
      <c r="A9336">
        <f>MOD(9336-1,101)</f>
        <v>43</v>
      </c>
    </row>
    <row r="9337">
      <c r="A9337">
        <f>MOD(9337-1,101)</f>
        <v>44</v>
      </c>
    </row>
    <row r="9338">
      <c r="A9338">
        <f>MOD(9338-1,101)</f>
        <v>45</v>
      </c>
    </row>
    <row r="9339">
      <c r="A9339">
        <f>MOD(9339-1,101)</f>
        <v>46</v>
      </c>
    </row>
    <row r="9340">
      <c r="A9340">
        <f>MOD(9340-1,101)</f>
        <v>47</v>
      </c>
    </row>
    <row r="9341">
      <c r="A9341">
        <f>MOD(9341-1,101)</f>
        <v>48</v>
      </c>
    </row>
    <row r="9342">
      <c r="A9342">
        <f>MOD(9342-1,101)</f>
        <v>49</v>
      </c>
    </row>
    <row r="9343">
      <c r="A9343">
        <f>MOD(9343-1,101)</f>
        <v>50</v>
      </c>
    </row>
    <row r="9344">
      <c r="A9344">
        <f>MOD(9344-1,101)</f>
        <v>51</v>
      </c>
    </row>
    <row r="9345">
      <c r="A9345">
        <f>MOD(9345-1,101)</f>
        <v>52</v>
      </c>
    </row>
    <row r="9346">
      <c r="A9346">
        <f>MOD(9346-1,101)</f>
        <v>53</v>
      </c>
    </row>
    <row r="9347">
      <c r="A9347">
        <f>MOD(9347-1,101)</f>
        <v>54</v>
      </c>
    </row>
    <row r="9348">
      <c r="A9348">
        <f>MOD(9348-1,101)</f>
        <v>55</v>
      </c>
    </row>
    <row r="9349">
      <c r="A9349">
        <f>MOD(9349-1,101)</f>
        <v>56</v>
      </c>
    </row>
    <row r="9350">
      <c r="A9350">
        <f>MOD(9350-1,101)</f>
        <v>57</v>
      </c>
    </row>
    <row r="9351">
      <c r="A9351">
        <f>MOD(9351-1,101)</f>
        <v>58</v>
      </c>
    </row>
    <row r="9352">
      <c r="A9352">
        <f>MOD(9352-1,101)</f>
        <v>59</v>
      </c>
    </row>
    <row r="9353">
      <c r="A9353">
        <f>MOD(9353-1,101)</f>
        <v>60</v>
      </c>
    </row>
    <row r="9354">
      <c r="A9354">
        <f>MOD(9354-1,101)</f>
        <v>61</v>
      </c>
    </row>
    <row r="9355">
      <c r="A9355">
        <f>MOD(9355-1,101)</f>
        <v>62</v>
      </c>
    </row>
    <row r="9356">
      <c r="A9356">
        <f>MOD(9356-1,101)</f>
        <v>63</v>
      </c>
    </row>
    <row r="9357">
      <c r="A9357">
        <f>MOD(9357-1,101)</f>
        <v>64</v>
      </c>
    </row>
    <row r="9358">
      <c r="A9358">
        <f>MOD(9358-1,101)</f>
        <v>65</v>
      </c>
    </row>
    <row r="9359">
      <c r="A9359">
        <f>MOD(9359-1,101)</f>
        <v>66</v>
      </c>
    </row>
    <row r="9360">
      <c r="A9360">
        <f>MOD(9360-1,101)</f>
        <v>67</v>
      </c>
    </row>
    <row r="9361">
      <c r="A9361">
        <f>MOD(9361-1,101)</f>
        <v>68</v>
      </c>
    </row>
    <row r="9362">
      <c r="A9362">
        <f>MOD(9362-1,101)</f>
        <v>69</v>
      </c>
    </row>
    <row r="9363">
      <c r="A9363">
        <f>MOD(9363-1,101)</f>
        <v>70</v>
      </c>
    </row>
    <row r="9364">
      <c r="A9364">
        <f>MOD(9364-1,101)</f>
        <v>71</v>
      </c>
    </row>
    <row r="9365">
      <c r="A9365">
        <f>MOD(9365-1,101)</f>
        <v>72</v>
      </c>
    </row>
    <row r="9366">
      <c r="A9366">
        <f>MOD(9366-1,101)</f>
        <v>73</v>
      </c>
    </row>
    <row r="9367">
      <c r="A9367">
        <f>MOD(9367-1,101)</f>
        <v>74</v>
      </c>
    </row>
    <row r="9368">
      <c r="A9368">
        <f>MOD(9368-1,101)</f>
        <v>75</v>
      </c>
    </row>
    <row r="9369">
      <c r="A9369">
        <f>MOD(9369-1,101)</f>
        <v>76</v>
      </c>
    </row>
    <row r="9370">
      <c r="A9370">
        <f>MOD(9370-1,101)</f>
        <v>77</v>
      </c>
    </row>
    <row r="9371">
      <c r="A9371">
        <f>MOD(9371-1,101)</f>
        <v>78</v>
      </c>
    </row>
    <row r="9372">
      <c r="A9372">
        <f>MOD(9372-1,101)</f>
        <v>79</v>
      </c>
    </row>
    <row r="9373">
      <c r="A9373">
        <f>MOD(9373-1,101)</f>
        <v>80</v>
      </c>
    </row>
    <row r="9374">
      <c r="A9374">
        <f>MOD(9374-1,101)</f>
        <v>81</v>
      </c>
    </row>
    <row r="9375">
      <c r="A9375">
        <f>MOD(9375-1,101)</f>
        <v>82</v>
      </c>
    </row>
    <row r="9376">
      <c r="A9376">
        <f>MOD(9376-1,101)</f>
        <v>83</v>
      </c>
    </row>
    <row r="9377">
      <c r="A9377">
        <f>MOD(9377-1,101)</f>
        <v>84</v>
      </c>
    </row>
    <row r="9378">
      <c r="A9378">
        <f>MOD(9378-1,101)</f>
        <v>85</v>
      </c>
    </row>
    <row r="9379">
      <c r="A9379">
        <f>MOD(9379-1,101)</f>
        <v>86</v>
      </c>
    </row>
    <row r="9380">
      <c r="A9380">
        <f>MOD(9380-1,101)</f>
        <v>87</v>
      </c>
    </row>
    <row r="9381">
      <c r="A9381">
        <f>MOD(9381-1,101)</f>
        <v>88</v>
      </c>
    </row>
    <row r="9382">
      <c r="A9382">
        <f>MOD(9382-1,101)</f>
        <v>89</v>
      </c>
    </row>
    <row r="9383">
      <c r="A9383">
        <f>MOD(9383-1,101)</f>
        <v>90</v>
      </c>
    </row>
    <row r="9384">
      <c r="A9384">
        <f>MOD(9384-1,101)</f>
        <v>91</v>
      </c>
    </row>
    <row r="9385">
      <c r="A9385">
        <f>MOD(9385-1,101)</f>
        <v>92</v>
      </c>
    </row>
    <row r="9386">
      <c r="A9386">
        <f>MOD(9386-1,101)</f>
        <v>93</v>
      </c>
    </row>
    <row r="9387">
      <c r="A9387">
        <f>MOD(9387-1,101)</f>
        <v>94</v>
      </c>
    </row>
    <row r="9388">
      <c r="A9388">
        <f>MOD(9388-1,101)</f>
        <v>95</v>
      </c>
    </row>
    <row r="9389">
      <c r="A9389">
        <f>MOD(9389-1,101)</f>
        <v>96</v>
      </c>
    </row>
    <row r="9390">
      <c r="A9390">
        <f>MOD(9390-1,101)</f>
        <v>97</v>
      </c>
    </row>
    <row r="9391">
      <c r="A9391">
        <f>MOD(9391-1,101)</f>
        <v>98</v>
      </c>
    </row>
    <row r="9392">
      <c r="A9392">
        <f>MOD(9392-1,101)</f>
        <v>99</v>
      </c>
    </row>
    <row r="9393">
      <c r="A9393">
        <f>MOD(9393-1,101)</f>
        <v>100</v>
      </c>
    </row>
    <row r="9394">
      <c r="A9394">
        <f>MOD(9394-1,101)</f>
        <v>0</v>
      </c>
    </row>
    <row r="9395">
      <c r="A9395">
        <f>MOD(9395-1,101)</f>
        <v>1</v>
      </c>
    </row>
    <row r="9396">
      <c r="A9396">
        <f>MOD(9396-1,101)</f>
        <v>2</v>
      </c>
    </row>
    <row r="9397">
      <c r="A9397">
        <f>MOD(9397-1,101)</f>
        <v>3</v>
      </c>
    </row>
    <row r="9398">
      <c r="A9398">
        <f>MOD(9398-1,101)</f>
        <v>4</v>
      </c>
    </row>
    <row r="9399">
      <c r="A9399">
        <f>MOD(9399-1,101)</f>
        <v>5</v>
      </c>
    </row>
    <row r="9400">
      <c r="A9400">
        <f>MOD(9400-1,101)</f>
        <v>6</v>
      </c>
    </row>
    <row r="9401">
      <c r="A9401">
        <f>MOD(9401-1,101)</f>
        <v>7</v>
      </c>
    </row>
    <row r="9402">
      <c r="A9402">
        <f>MOD(9402-1,101)</f>
        <v>8</v>
      </c>
    </row>
    <row r="9403">
      <c r="A9403">
        <f>MOD(9403-1,101)</f>
        <v>9</v>
      </c>
    </row>
    <row r="9404">
      <c r="A9404">
        <f>MOD(9404-1,101)</f>
        <v>10</v>
      </c>
    </row>
    <row r="9405">
      <c r="A9405">
        <f>MOD(9405-1,101)</f>
        <v>11</v>
      </c>
    </row>
    <row r="9406">
      <c r="A9406">
        <f>MOD(9406-1,101)</f>
        <v>12</v>
      </c>
    </row>
    <row r="9407">
      <c r="A9407">
        <f>MOD(9407-1,101)</f>
        <v>13</v>
      </c>
    </row>
    <row r="9408">
      <c r="A9408">
        <f>MOD(9408-1,101)</f>
        <v>14</v>
      </c>
    </row>
    <row r="9409">
      <c r="A9409">
        <f>MOD(9409-1,101)</f>
        <v>15</v>
      </c>
    </row>
    <row r="9410">
      <c r="A9410">
        <f>MOD(9410-1,101)</f>
        <v>16</v>
      </c>
    </row>
    <row r="9411">
      <c r="A9411">
        <f>MOD(9411-1,101)</f>
        <v>17</v>
      </c>
    </row>
    <row r="9412">
      <c r="A9412">
        <f>MOD(9412-1,101)</f>
        <v>18</v>
      </c>
    </row>
    <row r="9413">
      <c r="A9413">
        <f>MOD(9413-1,101)</f>
        <v>19</v>
      </c>
    </row>
    <row r="9414">
      <c r="A9414">
        <f>MOD(9414-1,101)</f>
        <v>20</v>
      </c>
    </row>
    <row r="9415">
      <c r="A9415">
        <f>MOD(9415-1,101)</f>
        <v>21</v>
      </c>
    </row>
    <row r="9416">
      <c r="A9416">
        <f>MOD(9416-1,101)</f>
        <v>22</v>
      </c>
    </row>
    <row r="9417">
      <c r="A9417">
        <f>MOD(9417-1,101)</f>
        <v>23</v>
      </c>
    </row>
    <row r="9418">
      <c r="A9418">
        <f>MOD(9418-1,101)</f>
        <v>24</v>
      </c>
    </row>
    <row r="9419">
      <c r="A9419">
        <f>MOD(9419-1,101)</f>
        <v>25</v>
      </c>
    </row>
    <row r="9420">
      <c r="A9420">
        <f>MOD(9420-1,101)</f>
        <v>26</v>
      </c>
    </row>
    <row r="9421">
      <c r="A9421">
        <f>MOD(9421-1,101)</f>
        <v>27</v>
      </c>
    </row>
    <row r="9422">
      <c r="A9422">
        <f>MOD(9422-1,101)</f>
        <v>28</v>
      </c>
    </row>
    <row r="9423">
      <c r="A9423">
        <f>MOD(9423-1,101)</f>
        <v>29</v>
      </c>
    </row>
    <row r="9424">
      <c r="A9424">
        <f>MOD(9424-1,101)</f>
        <v>30</v>
      </c>
    </row>
    <row r="9425">
      <c r="A9425">
        <f>MOD(9425-1,101)</f>
        <v>31</v>
      </c>
    </row>
    <row r="9426">
      <c r="A9426">
        <f>MOD(9426-1,101)</f>
        <v>32</v>
      </c>
    </row>
    <row r="9427">
      <c r="A9427">
        <f>MOD(9427-1,101)</f>
        <v>33</v>
      </c>
    </row>
    <row r="9428">
      <c r="A9428">
        <f>MOD(9428-1,101)</f>
        <v>34</v>
      </c>
    </row>
    <row r="9429">
      <c r="A9429">
        <f>MOD(9429-1,101)</f>
        <v>35</v>
      </c>
    </row>
    <row r="9430">
      <c r="A9430">
        <f>MOD(9430-1,101)</f>
        <v>36</v>
      </c>
    </row>
    <row r="9431">
      <c r="A9431">
        <f>MOD(9431-1,101)</f>
        <v>37</v>
      </c>
    </row>
    <row r="9432">
      <c r="A9432">
        <f>MOD(9432-1,101)</f>
        <v>38</v>
      </c>
    </row>
    <row r="9433">
      <c r="A9433">
        <f>MOD(9433-1,101)</f>
        <v>39</v>
      </c>
    </row>
    <row r="9434">
      <c r="A9434">
        <f>MOD(9434-1,101)</f>
        <v>40</v>
      </c>
    </row>
    <row r="9435">
      <c r="A9435">
        <f>MOD(9435-1,101)</f>
        <v>41</v>
      </c>
    </row>
    <row r="9436">
      <c r="A9436">
        <f>MOD(9436-1,101)</f>
        <v>42</v>
      </c>
    </row>
    <row r="9437">
      <c r="A9437">
        <f>MOD(9437-1,101)</f>
        <v>43</v>
      </c>
    </row>
    <row r="9438">
      <c r="A9438">
        <f>MOD(9438-1,101)</f>
        <v>44</v>
      </c>
    </row>
    <row r="9439">
      <c r="A9439">
        <f>MOD(9439-1,101)</f>
        <v>45</v>
      </c>
    </row>
    <row r="9440">
      <c r="A9440">
        <f>MOD(9440-1,101)</f>
        <v>46</v>
      </c>
    </row>
    <row r="9441">
      <c r="A9441">
        <f>MOD(9441-1,101)</f>
        <v>47</v>
      </c>
    </row>
    <row r="9442">
      <c r="A9442">
        <f>MOD(9442-1,101)</f>
        <v>48</v>
      </c>
    </row>
    <row r="9443">
      <c r="A9443">
        <f>MOD(9443-1,101)</f>
        <v>49</v>
      </c>
    </row>
    <row r="9444">
      <c r="A9444">
        <f>MOD(9444-1,101)</f>
        <v>50</v>
      </c>
    </row>
    <row r="9445">
      <c r="A9445">
        <f>MOD(9445-1,101)</f>
        <v>51</v>
      </c>
    </row>
    <row r="9446">
      <c r="A9446">
        <f>MOD(9446-1,101)</f>
        <v>52</v>
      </c>
    </row>
    <row r="9447">
      <c r="A9447">
        <f>MOD(9447-1,101)</f>
        <v>53</v>
      </c>
    </row>
    <row r="9448">
      <c r="A9448">
        <f>MOD(9448-1,101)</f>
        <v>54</v>
      </c>
    </row>
    <row r="9449">
      <c r="A9449">
        <f>MOD(9449-1,101)</f>
        <v>55</v>
      </c>
    </row>
    <row r="9450">
      <c r="A9450">
        <f>MOD(9450-1,101)</f>
        <v>56</v>
      </c>
    </row>
    <row r="9451">
      <c r="A9451">
        <f>MOD(9451-1,101)</f>
        <v>57</v>
      </c>
    </row>
    <row r="9452">
      <c r="A9452">
        <f>MOD(9452-1,101)</f>
        <v>58</v>
      </c>
    </row>
    <row r="9453">
      <c r="A9453">
        <f>MOD(9453-1,101)</f>
        <v>59</v>
      </c>
    </row>
    <row r="9454">
      <c r="A9454">
        <f>MOD(9454-1,101)</f>
        <v>60</v>
      </c>
    </row>
    <row r="9455">
      <c r="A9455">
        <f>MOD(9455-1,101)</f>
        <v>61</v>
      </c>
    </row>
    <row r="9456">
      <c r="A9456">
        <f>MOD(9456-1,101)</f>
        <v>62</v>
      </c>
    </row>
    <row r="9457">
      <c r="A9457">
        <f>MOD(9457-1,101)</f>
        <v>63</v>
      </c>
    </row>
    <row r="9458">
      <c r="A9458">
        <f>MOD(9458-1,101)</f>
        <v>64</v>
      </c>
    </row>
    <row r="9459">
      <c r="A9459">
        <f>MOD(9459-1,101)</f>
        <v>65</v>
      </c>
    </row>
    <row r="9460">
      <c r="A9460">
        <f>MOD(9460-1,101)</f>
        <v>66</v>
      </c>
    </row>
    <row r="9461">
      <c r="A9461">
        <f>MOD(9461-1,101)</f>
        <v>67</v>
      </c>
    </row>
    <row r="9462">
      <c r="A9462">
        <f>MOD(9462-1,101)</f>
        <v>68</v>
      </c>
    </row>
    <row r="9463">
      <c r="A9463">
        <f>MOD(9463-1,101)</f>
        <v>69</v>
      </c>
    </row>
    <row r="9464">
      <c r="A9464">
        <f>MOD(9464-1,101)</f>
        <v>70</v>
      </c>
    </row>
    <row r="9465">
      <c r="A9465">
        <f>MOD(9465-1,101)</f>
        <v>71</v>
      </c>
    </row>
    <row r="9466">
      <c r="A9466">
        <f>MOD(9466-1,101)</f>
        <v>72</v>
      </c>
    </row>
    <row r="9467">
      <c r="A9467">
        <f>MOD(9467-1,101)</f>
        <v>73</v>
      </c>
    </row>
    <row r="9468">
      <c r="A9468">
        <f>MOD(9468-1,101)</f>
        <v>74</v>
      </c>
    </row>
    <row r="9469">
      <c r="A9469">
        <f>MOD(9469-1,101)</f>
        <v>75</v>
      </c>
    </row>
    <row r="9470">
      <c r="A9470">
        <f>MOD(9470-1,101)</f>
        <v>76</v>
      </c>
    </row>
    <row r="9471">
      <c r="A9471">
        <f>MOD(9471-1,101)</f>
        <v>77</v>
      </c>
    </row>
    <row r="9472">
      <c r="A9472">
        <f>MOD(9472-1,101)</f>
        <v>78</v>
      </c>
    </row>
    <row r="9473">
      <c r="A9473">
        <f>MOD(9473-1,101)</f>
        <v>79</v>
      </c>
    </row>
    <row r="9474">
      <c r="A9474">
        <f>MOD(9474-1,101)</f>
        <v>80</v>
      </c>
    </row>
    <row r="9475">
      <c r="A9475">
        <f>MOD(9475-1,101)</f>
        <v>81</v>
      </c>
    </row>
    <row r="9476">
      <c r="A9476">
        <f>MOD(9476-1,101)</f>
        <v>82</v>
      </c>
    </row>
    <row r="9477">
      <c r="A9477">
        <f>MOD(9477-1,101)</f>
        <v>83</v>
      </c>
    </row>
    <row r="9478">
      <c r="A9478">
        <f>MOD(9478-1,101)</f>
        <v>84</v>
      </c>
    </row>
    <row r="9479">
      <c r="A9479">
        <f>MOD(9479-1,101)</f>
        <v>85</v>
      </c>
    </row>
    <row r="9480">
      <c r="A9480">
        <f>MOD(9480-1,101)</f>
        <v>86</v>
      </c>
    </row>
    <row r="9481">
      <c r="A9481">
        <f>MOD(9481-1,101)</f>
        <v>87</v>
      </c>
    </row>
    <row r="9482">
      <c r="A9482">
        <f>MOD(9482-1,101)</f>
        <v>88</v>
      </c>
    </row>
    <row r="9483">
      <c r="A9483">
        <f>MOD(9483-1,101)</f>
        <v>89</v>
      </c>
    </row>
    <row r="9484">
      <c r="A9484">
        <f>MOD(9484-1,101)</f>
        <v>90</v>
      </c>
    </row>
    <row r="9485">
      <c r="A9485">
        <f>MOD(9485-1,101)</f>
        <v>91</v>
      </c>
    </row>
    <row r="9486">
      <c r="A9486">
        <f>MOD(9486-1,101)</f>
        <v>92</v>
      </c>
    </row>
    <row r="9487">
      <c r="A9487">
        <f>MOD(9487-1,101)</f>
        <v>93</v>
      </c>
    </row>
    <row r="9488">
      <c r="A9488">
        <f>MOD(9488-1,101)</f>
        <v>94</v>
      </c>
    </row>
    <row r="9489">
      <c r="A9489">
        <f>MOD(9489-1,101)</f>
        <v>95</v>
      </c>
    </row>
    <row r="9490">
      <c r="A9490">
        <f>MOD(9490-1,101)</f>
        <v>96</v>
      </c>
    </row>
    <row r="9491">
      <c r="A9491">
        <f>MOD(9491-1,101)</f>
        <v>97</v>
      </c>
    </row>
    <row r="9492">
      <c r="A9492">
        <f>MOD(9492-1,101)</f>
        <v>98</v>
      </c>
    </row>
    <row r="9493">
      <c r="A9493">
        <f>MOD(9493-1,101)</f>
        <v>99</v>
      </c>
    </row>
    <row r="9494">
      <c r="A9494">
        <f>MOD(9494-1,101)</f>
        <v>100</v>
      </c>
    </row>
    <row r="9495">
      <c r="A9495">
        <f>MOD(9495-1,101)</f>
        <v>0</v>
      </c>
    </row>
    <row r="9496">
      <c r="A9496">
        <f>MOD(9496-1,101)</f>
        <v>1</v>
      </c>
    </row>
    <row r="9497">
      <c r="A9497">
        <f>MOD(9497-1,101)</f>
        <v>2</v>
      </c>
    </row>
    <row r="9498">
      <c r="A9498">
        <f>MOD(9498-1,101)</f>
        <v>3</v>
      </c>
    </row>
    <row r="9499">
      <c r="A9499">
        <f>MOD(9499-1,101)</f>
        <v>4</v>
      </c>
    </row>
    <row r="9500">
      <c r="A9500">
        <f>MOD(9500-1,101)</f>
        <v>5</v>
      </c>
    </row>
    <row r="9501">
      <c r="A9501">
        <f>MOD(9501-1,101)</f>
        <v>6</v>
      </c>
    </row>
    <row r="9502">
      <c r="A9502">
        <f>MOD(9502-1,101)</f>
        <v>7</v>
      </c>
    </row>
    <row r="9503">
      <c r="A9503">
        <f>MOD(9503-1,101)</f>
        <v>8</v>
      </c>
    </row>
    <row r="9504">
      <c r="A9504">
        <f>MOD(9504-1,101)</f>
        <v>9</v>
      </c>
    </row>
    <row r="9505">
      <c r="A9505">
        <f>MOD(9505-1,101)</f>
        <v>10</v>
      </c>
    </row>
    <row r="9506">
      <c r="A9506">
        <f>MOD(9506-1,101)</f>
        <v>11</v>
      </c>
    </row>
    <row r="9507">
      <c r="A9507">
        <f>MOD(9507-1,101)</f>
        <v>12</v>
      </c>
    </row>
    <row r="9508">
      <c r="A9508">
        <f>MOD(9508-1,101)</f>
        <v>13</v>
      </c>
    </row>
    <row r="9509">
      <c r="A9509">
        <f>MOD(9509-1,101)</f>
        <v>14</v>
      </c>
    </row>
    <row r="9510">
      <c r="A9510">
        <f>MOD(9510-1,101)</f>
        <v>15</v>
      </c>
    </row>
    <row r="9511">
      <c r="A9511">
        <f>MOD(9511-1,101)</f>
        <v>16</v>
      </c>
    </row>
    <row r="9512">
      <c r="A9512">
        <f>MOD(9512-1,101)</f>
        <v>17</v>
      </c>
    </row>
    <row r="9513">
      <c r="A9513">
        <f>MOD(9513-1,101)</f>
        <v>18</v>
      </c>
    </row>
    <row r="9514">
      <c r="A9514">
        <f>MOD(9514-1,101)</f>
        <v>19</v>
      </c>
    </row>
    <row r="9515">
      <c r="A9515">
        <f>MOD(9515-1,101)</f>
        <v>20</v>
      </c>
    </row>
    <row r="9516">
      <c r="A9516">
        <f>MOD(9516-1,101)</f>
        <v>21</v>
      </c>
    </row>
    <row r="9517">
      <c r="A9517">
        <f>MOD(9517-1,101)</f>
        <v>22</v>
      </c>
    </row>
    <row r="9518">
      <c r="A9518">
        <f>MOD(9518-1,101)</f>
        <v>23</v>
      </c>
    </row>
    <row r="9519">
      <c r="A9519">
        <f>MOD(9519-1,101)</f>
        <v>24</v>
      </c>
    </row>
    <row r="9520">
      <c r="A9520">
        <f>MOD(9520-1,101)</f>
        <v>25</v>
      </c>
    </row>
    <row r="9521">
      <c r="A9521">
        <f>MOD(9521-1,101)</f>
        <v>26</v>
      </c>
    </row>
    <row r="9522">
      <c r="A9522">
        <f>MOD(9522-1,101)</f>
        <v>27</v>
      </c>
    </row>
    <row r="9523">
      <c r="A9523">
        <f>MOD(9523-1,101)</f>
        <v>28</v>
      </c>
    </row>
    <row r="9524">
      <c r="A9524">
        <f>MOD(9524-1,101)</f>
        <v>29</v>
      </c>
    </row>
    <row r="9525">
      <c r="A9525">
        <f>MOD(9525-1,101)</f>
        <v>30</v>
      </c>
    </row>
    <row r="9526">
      <c r="A9526">
        <f>MOD(9526-1,101)</f>
        <v>31</v>
      </c>
    </row>
    <row r="9527">
      <c r="A9527">
        <f>MOD(9527-1,101)</f>
        <v>32</v>
      </c>
    </row>
    <row r="9528">
      <c r="A9528">
        <f>MOD(9528-1,101)</f>
        <v>33</v>
      </c>
    </row>
    <row r="9529">
      <c r="A9529">
        <f>MOD(9529-1,101)</f>
        <v>34</v>
      </c>
    </row>
    <row r="9530">
      <c r="A9530">
        <f>MOD(9530-1,101)</f>
        <v>35</v>
      </c>
    </row>
    <row r="9531">
      <c r="A9531">
        <f>MOD(9531-1,101)</f>
        <v>36</v>
      </c>
    </row>
    <row r="9532">
      <c r="A9532">
        <f>MOD(9532-1,101)</f>
        <v>37</v>
      </c>
    </row>
    <row r="9533">
      <c r="A9533">
        <f>MOD(9533-1,101)</f>
        <v>38</v>
      </c>
    </row>
    <row r="9534">
      <c r="A9534">
        <f>MOD(9534-1,101)</f>
        <v>39</v>
      </c>
    </row>
    <row r="9535">
      <c r="A9535">
        <f>MOD(9535-1,101)</f>
        <v>40</v>
      </c>
    </row>
    <row r="9536">
      <c r="A9536">
        <f>MOD(9536-1,101)</f>
        <v>41</v>
      </c>
    </row>
    <row r="9537">
      <c r="A9537">
        <f>MOD(9537-1,101)</f>
        <v>42</v>
      </c>
    </row>
    <row r="9538">
      <c r="A9538">
        <f>MOD(9538-1,101)</f>
        <v>43</v>
      </c>
    </row>
    <row r="9539">
      <c r="A9539">
        <f>MOD(9539-1,101)</f>
        <v>44</v>
      </c>
    </row>
    <row r="9540">
      <c r="A9540">
        <f>MOD(9540-1,101)</f>
        <v>45</v>
      </c>
    </row>
    <row r="9541">
      <c r="A9541">
        <f>MOD(9541-1,101)</f>
        <v>46</v>
      </c>
    </row>
    <row r="9542">
      <c r="A9542">
        <f>MOD(9542-1,101)</f>
        <v>47</v>
      </c>
    </row>
    <row r="9543">
      <c r="A9543">
        <f>MOD(9543-1,101)</f>
        <v>48</v>
      </c>
    </row>
    <row r="9544">
      <c r="A9544">
        <f>MOD(9544-1,101)</f>
        <v>49</v>
      </c>
    </row>
    <row r="9545">
      <c r="A9545">
        <f>MOD(9545-1,101)</f>
        <v>50</v>
      </c>
    </row>
    <row r="9546">
      <c r="A9546">
        <f>MOD(9546-1,101)</f>
        <v>51</v>
      </c>
    </row>
    <row r="9547">
      <c r="A9547">
        <f>MOD(9547-1,101)</f>
        <v>52</v>
      </c>
    </row>
    <row r="9548">
      <c r="A9548">
        <f>MOD(9548-1,101)</f>
        <v>53</v>
      </c>
    </row>
    <row r="9549">
      <c r="A9549">
        <f>MOD(9549-1,101)</f>
        <v>54</v>
      </c>
    </row>
    <row r="9550">
      <c r="A9550">
        <f>MOD(9550-1,101)</f>
        <v>55</v>
      </c>
    </row>
    <row r="9551">
      <c r="A9551">
        <f>MOD(9551-1,101)</f>
        <v>56</v>
      </c>
    </row>
    <row r="9552">
      <c r="A9552">
        <f>MOD(9552-1,101)</f>
        <v>57</v>
      </c>
    </row>
    <row r="9553">
      <c r="A9553">
        <f>MOD(9553-1,101)</f>
        <v>58</v>
      </c>
    </row>
    <row r="9554">
      <c r="A9554">
        <f>MOD(9554-1,101)</f>
        <v>59</v>
      </c>
    </row>
    <row r="9555">
      <c r="A9555">
        <f>MOD(9555-1,101)</f>
        <v>60</v>
      </c>
    </row>
    <row r="9556">
      <c r="A9556">
        <f>MOD(9556-1,101)</f>
        <v>61</v>
      </c>
    </row>
    <row r="9557">
      <c r="A9557">
        <f>MOD(9557-1,101)</f>
        <v>62</v>
      </c>
    </row>
    <row r="9558">
      <c r="A9558">
        <f>MOD(9558-1,101)</f>
        <v>63</v>
      </c>
    </row>
    <row r="9559">
      <c r="A9559">
        <f>MOD(9559-1,101)</f>
        <v>64</v>
      </c>
    </row>
    <row r="9560">
      <c r="A9560">
        <f>MOD(9560-1,101)</f>
        <v>65</v>
      </c>
    </row>
    <row r="9561">
      <c r="A9561">
        <f>MOD(9561-1,101)</f>
        <v>66</v>
      </c>
    </row>
    <row r="9562">
      <c r="A9562">
        <f>MOD(9562-1,101)</f>
        <v>67</v>
      </c>
    </row>
    <row r="9563">
      <c r="A9563">
        <f>MOD(9563-1,101)</f>
        <v>68</v>
      </c>
    </row>
    <row r="9564">
      <c r="A9564">
        <f>MOD(9564-1,101)</f>
        <v>69</v>
      </c>
    </row>
    <row r="9565">
      <c r="A9565">
        <f>MOD(9565-1,101)</f>
        <v>70</v>
      </c>
    </row>
    <row r="9566">
      <c r="A9566">
        <f>MOD(9566-1,101)</f>
        <v>71</v>
      </c>
    </row>
    <row r="9567">
      <c r="A9567">
        <f>MOD(9567-1,101)</f>
        <v>72</v>
      </c>
    </row>
    <row r="9568">
      <c r="A9568">
        <f>MOD(9568-1,101)</f>
        <v>73</v>
      </c>
    </row>
    <row r="9569">
      <c r="A9569">
        <f>MOD(9569-1,101)</f>
        <v>74</v>
      </c>
    </row>
    <row r="9570">
      <c r="A9570">
        <f>MOD(9570-1,101)</f>
        <v>75</v>
      </c>
    </row>
    <row r="9571">
      <c r="A9571">
        <f>MOD(9571-1,101)</f>
        <v>76</v>
      </c>
    </row>
    <row r="9572">
      <c r="A9572">
        <f>MOD(9572-1,101)</f>
        <v>77</v>
      </c>
    </row>
    <row r="9573">
      <c r="A9573">
        <f>MOD(9573-1,101)</f>
        <v>78</v>
      </c>
    </row>
    <row r="9574">
      <c r="A9574">
        <f>MOD(9574-1,101)</f>
        <v>79</v>
      </c>
    </row>
    <row r="9575">
      <c r="A9575">
        <f>MOD(9575-1,101)</f>
        <v>80</v>
      </c>
    </row>
    <row r="9576">
      <c r="A9576">
        <f>MOD(9576-1,101)</f>
        <v>81</v>
      </c>
    </row>
    <row r="9577">
      <c r="A9577">
        <f>MOD(9577-1,101)</f>
        <v>82</v>
      </c>
    </row>
    <row r="9578">
      <c r="A9578">
        <f>MOD(9578-1,101)</f>
        <v>83</v>
      </c>
    </row>
    <row r="9579">
      <c r="A9579">
        <f>MOD(9579-1,101)</f>
        <v>84</v>
      </c>
    </row>
    <row r="9580">
      <c r="A9580">
        <f>MOD(9580-1,101)</f>
        <v>85</v>
      </c>
    </row>
    <row r="9581">
      <c r="A9581">
        <f>MOD(9581-1,101)</f>
        <v>86</v>
      </c>
    </row>
    <row r="9582">
      <c r="A9582">
        <f>MOD(9582-1,101)</f>
        <v>87</v>
      </c>
    </row>
    <row r="9583">
      <c r="A9583">
        <f>MOD(9583-1,101)</f>
        <v>88</v>
      </c>
    </row>
    <row r="9584">
      <c r="A9584">
        <f>MOD(9584-1,101)</f>
        <v>89</v>
      </c>
    </row>
    <row r="9585">
      <c r="A9585">
        <f>MOD(9585-1,101)</f>
        <v>90</v>
      </c>
    </row>
    <row r="9586">
      <c r="A9586">
        <f>MOD(9586-1,101)</f>
        <v>91</v>
      </c>
    </row>
    <row r="9587">
      <c r="A9587">
        <f>MOD(9587-1,101)</f>
        <v>92</v>
      </c>
    </row>
    <row r="9588">
      <c r="A9588">
        <f>MOD(9588-1,101)</f>
        <v>93</v>
      </c>
    </row>
    <row r="9589">
      <c r="A9589">
        <f>MOD(9589-1,101)</f>
        <v>94</v>
      </c>
    </row>
    <row r="9590">
      <c r="A9590">
        <f>MOD(9590-1,101)</f>
        <v>95</v>
      </c>
    </row>
    <row r="9591">
      <c r="A9591">
        <f>MOD(9591-1,101)</f>
        <v>96</v>
      </c>
    </row>
    <row r="9592">
      <c r="A9592">
        <f>MOD(9592-1,101)</f>
        <v>97</v>
      </c>
    </row>
    <row r="9593">
      <c r="A9593">
        <f>MOD(9593-1,101)</f>
        <v>98</v>
      </c>
    </row>
    <row r="9594">
      <c r="A9594">
        <f>MOD(9594-1,101)</f>
        <v>99</v>
      </c>
    </row>
    <row r="9595">
      <c r="A9595">
        <f>MOD(9595-1,101)</f>
        <v>100</v>
      </c>
    </row>
    <row r="9596">
      <c r="A9596">
        <f>MOD(9596-1,101)</f>
        <v>0</v>
      </c>
    </row>
    <row r="9597">
      <c r="A9597">
        <f>MOD(9597-1,101)</f>
        <v>1</v>
      </c>
    </row>
    <row r="9598">
      <c r="A9598">
        <f>MOD(9598-1,101)</f>
        <v>2</v>
      </c>
    </row>
    <row r="9599">
      <c r="A9599">
        <f>MOD(9599-1,101)</f>
        <v>3</v>
      </c>
    </row>
    <row r="9600">
      <c r="A9600">
        <f>MOD(9600-1,101)</f>
        <v>4</v>
      </c>
    </row>
    <row r="9601">
      <c r="A9601">
        <f>MOD(9601-1,101)</f>
        <v>5</v>
      </c>
    </row>
    <row r="9602">
      <c r="A9602">
        <f>MOD(9602-1,101)</f>
        <v>6</v>
      </c>
    </row>
    <row r="9603">
      <c r="A9603">
        <f>MOD(9603-1,101)</f>
        <v>7</v>
      </c>
    </row>
    <row r="9604">
      <c r="A9604">
        <f>MOD(9604-1,101)</f>
        <v>8</v>
      </c>
    </row>
    <row r="9605">
      <c r="A9605">
        <f>MOD(9605-1,101)</f>
        <v>9</v>
      </c>
    </row>
    <row r="9606">
      <c r="A9606">
        <f>MOD(9606-1,101)</f>
        <v>10</v>
      </c>
    </row>
    <row r="9607">
      <c r="A9607">
        <f>MOD(9607-1,101)</f>
        <v>11</v>
      </c>
    </row>
    <row r="9608">
      <c r="A9608">
        <f>MOD(9608-1,101)</f>
        <v>12</v>
      </c>
    </row>
    <row r="9609">
      <c r="A9609">
        <f>MOD(9609-1,101)</f>
        <v>13</v>
      </c>
    </row>
    <row r="9610">
      <c r="A9610">
        <f>MOD(9610-1,101)</f>
        <v>14</v>
      </c>
    </row>
    <row r="9611">
      <c r="A9611">
        <f>MOD(9611-1,101)</f>
        <v>15</v>
      </c>
    </row>
    <row r="9612">
      <c r="A9612">
        <f>MOD(9612-1,101)</f>
        <v>16</v>
      </c>
    </row>
    <row r="9613">
      <c r="A9613">
        <f>MOD(9613-1,101)</f>
        <v>17</v>
      </c>
    </row>
    <row r="9614">
      <c r="A9614">
        <f>MOD(9614-1,101)</f>
        <v>18</v>
      </c>
    </row>
    <row r="9615">
      <c r="A9615">
        <f>MOD(9615-1,101)</f>
        <v>19</v>
      </c>
    </row>
    <row r="9616">
      <c r="A9616">
        <f>MOD(9616-1,101)</f>
        <v>20</v>
      </c>
    </row>
    <row r="9617">
      <c r="A9617">
        <f>MOD(9617-1,101)</f>
        <v>21</v>
      </c>
    </row>
    <row r="9618">
      <c r="A9618">
        <f>MOD(9618-1,101)</f>
        <v>22</v>
      </c>
    </row>
    <row r="9619">
      <c r="A9619">
        <f>MOD(9619-1,101)</f>
        <v>23</v>
      </c>
    </row>
    <row r="9620">
      <c r="A9620">
        <f>MOD(9620-1,101)</f>
        <v>24</v>
      </c>
    </row>
    <row r="9621">
      <c r="A9621">
        <f>MOD(9621-1,101)</f>
        <v>25</v>
      </c>
    </row>
    <row r="9622">
      <c r="A9622">
        <f>MOD(9622-1,101)</f>
        <v>26</v>
      </c>
    </row>
    <row r="9623">
      <c r="A9623">
        <f>MOD(9623-1,101)</f>
        <v>27</v>
      </c>
    </row>
    <row r="9624">
      <c r="A9624">
        <f>MOD(9624-1,101)</f>
        <v>28</v>
      </c>
    </row>
    <row r="9625">
      <c r="A9625">
        <f>MOD(9625-1,101)</f>
        <v>29</v>
      </c>
    </row>
    <row r="9626">
      <c r="A9626">
        <f>MOD(9626-1,101)</f>
        <v>30</v>
      </c>
    </row>
    <row r="9627">
      <c r="A9627">
        <f>MOD(9627-1,101)</f>
        <v>31</v>
      </c>
    </row>
    <row r="9628">
      <c r="A9628">
        <f>MOD(9628-1,101)</f>
        <v>32</v>
      </c>
    </row>
    <row r="9629">
      <c r="A9629">
        <f>MOD(9629-1,101)</f>
        <v>33</v>
      </c>
    </row>
    <row r="9630">
      <c r="A9630">
        <f>MOD(9630-1,101)</f>
        <v>34</v>
      </c>
    </row>
    <row r="9631">
      <c r="A9631">
        <f>MOD(9631-1,101)</f>
        <v>35</v>
      </c>
    </row>
    <row r="9632">
      <c r="A9632">
        <f>MOD(9632-1,101)</f>
        <v>36</v>
      </c>
    </row>
    <row r="9633">
      <c r="A9633">
        <f>MOD(9633-1,101)</f>
        <v>37</v>
      </c>
    </row>
    <row r="9634">
      <c r="A9634">
        <f>MOD(9634-1,101)</f>
        <v>38</v>
      </c>
    </row>
    <row r="9635">
      <c r="A9635">
        <f>MOD(9635-1,101)</f>
        <v>39</v>
      </c>
    </row>
    <row r="9636">
      <c r="A9636">
        <f>MOD(9636-1,101)</f>
        <v>40</v>
      </c>
    </row>
    <row r="9637">
      <c r="A9637">
        <f>MOD(9637-1,101)</f>
        <v>41</v>
      </c>
    </row>
    <row r="9638">
      <c r="A9638">
        <f>MOD(9638-1,101)</f>
        <v>42</v>
      </c>
    </row>
    <row r="9639">
      <c r="A9639">
        <f>MOD(9639-1,101)</f>
        <v>43</v>
      </c>
    </row>
    <row r="9640">
      <c r="A9640">
        <f>MOD(9640-1,101)</f>
        <v>44</v>
      </c>
    </row>
    <row r="9641">
      <c r="A9641">
        <f>MOD(9641-1,101)</f>
        <v>45</v>
      </c>
    </row>
    <row r="9642">
      <c r="A9642">
        <f>MOD(9642-1,101)</f>
        <v>46</v>
      </c>
    </row>
    <row r="9643">
      <c r="A9643">
        <f>MOD(9643-1,101)</f>
        <v>47</v>
      </c>
    </row>
    <row r="9644">
      <c r="A9644">
        <f>MOD(9644-1,101)</f>
        <v>48</v>
      </c>
    </row>
    <row r="9645">
      <c r="A9645">
        <f>MOD(9645-1,101)</f>
        <v>49</v>
      </c>
    </row>
    <row r="9646">
      <c r="A9646">
        <f>MOD(9646-1,101)</f>
        <v>50</v>
      </c>
    </row>
    <row r="9647">
      <c r="A9647">
        <f>MOD(9647-1,101)</f>
        <v>51</v>
      </c>
    </row>
    <row r="9648">
      <c r="A9648">
        <f>MOD(9648-1,101)</f>
        <v>52</v>
      </c>
    </row>
    <row r="9649">
      <c r="A9649">
        <f>MOD(9649-1,101)</f>
        <v>53</v>
      </c>
    </row>
    <row r="9650">
      <c r="A9650">
        <f>MOD(9650-1,101)</f>
        <v>54</v>
      </c>
    </row>
    <row r="9651">
      <c r="A9651">
        <f>MOD(9651-1,101)</f>
        <v>55</v>
      </c>
    </row>
    <row r="9652">
      <c r="A9652">
        <f>MOD(9652-1,101)</f>
        <v>56</v>
      </c>
    </row>
    <row r="9653">
      <c r="A9653">
        <f>MOD(9653-1,101)</f>
        <v>57</v>
      </c>
    </row>
    <row r="9654">
      <c r="A9654">
        <f>MOD(9654-1,101)</f>
        <v>58</v>
      </c>
    </row>
    <row r="9655">
      <c r="A9655">
        <f>MOD(9655-1,101)</f>
        <v>59</v>
      </c>
    </row>
    <row r="9656">
      <c r="A9656">
        <f>MOD(9656-1,101)</f>
        <v>60</v>
      </c>
    </row>
    <row r="9657">
      <c r="A9657">
        <f>MOD(9657-1,101)</f>
        <v>61</v>
      </c>
    </row>
    <row r="9658">
      <c r="A9658">
        <f>MOD(9658-1,101)</f>
        <v>62</v>
      </c>
    </row>
    <row r="9659">
      <c r="A9659">
        <f>MOD(9659-1,101)</f>
        <v>63</v>
      </c>
    </row>
    <row r="9660">
      <c r="A9660">
        <f>MOD(9660-1,101)</f>
        <v>64</v>
      </c>
    </row>
    <row r="9661">
      <c r="A9661">
        <f>MOD(9661-1,101)</f>
        <v>65</v>
      </c>
    </row>
    <row r="9662">
      <c r="A9662">
        <f>MOD(9662-1,101)</f>
        <v>66</v>
      </c>
    </row>
    <row r="9663">
      <c r="A9663">
        <f>MOD(9663-1,101)</f>
        <v>67</v>
      </c>
    </row>
    <row r="9664">
      <c r="A9664">
        <f>MOD(9664-1,101)</f>
        <v>68</v>
      </c>
    </row>
    <row r="9665">
      <c r="A9665">
        <f>MOD(9665-1,101)</f>
        <v>69</v>
      </c>
    </row>
    <row r="9666">
      <c r="A9666">
        <f>MOD(9666-1,101)</f>
        <v>70</v>
      </c>
    </row>
    <row r="9667">
      <c r="A9667">
        <f>MOD(9667-1,101)</f>
        <v>71</v>
      </c>
    </row>
    <row r="9668">
      <c r="A9668">
        <f>MOD(9668-1,101)</f>
        <v>72</v>
      </c>
    </row>
    <row r="9669">
      <c r="A9669">
        <f>MOD(9669-1,101)</f>
        <v>73</v>
      </c>
    </row>
    <row r="9670">
      <c r="A9670">
        <f>MOD(9670-1,101)</f>
        <v>74</v>
      </c>
    </row>
    <row r="9671">
      <c r="A9671">
        <f>MOD(9671-1,101)</f>
        <v>75</v>
      </c>
    </row>
    <row r="9672">
      <c r="A9672">
        <f>MOD(9672-1,101)</f>
        <v>76</v>
      </c>
    </row>
    <row r="9673">
      <c r="A9673">
        <f>MOD(9673-1,101)</f>
        <v>77</v>
      </c>
    </row>
    <row r="9674">
      <c r="A9674">
        <f>MOD(9674-1,101)</f>
        <v>78</v>
      </c>
    </row>
    <row r="9675">
      <c r="A9675">
        <f>MOD(9675-1,101)</f>
        <v>79</v>
      </c>
    </row>
    <row r="9676">
      <c r="A9676">
        <f>MOD(9676-1,101)</f>
        <v>80</v>
      </c>
    </row>
    <row r="9677">
      <c r="A9677">
        <f>MOD(9677-1,101)</f>
        <v>81</v>
      </c>
    </row>
    <row r="9678">
      <c r="A9678">
        <f>MOD(9678-1,101)</f>
        <v>82</v>
      </c>
    </row>
    <row r="9679">
      <c r="A9679">
        <f>MOD(9679-1,101)</f>
        <v>83</v>
      </c>
    </row>
    <row r="9680">
      <c r="A9680">
        <f>MOD(9680-1,101)</f>
        <v>84</v>
      </c>
    </row>
    <row r="9681">
      <c r="A9681">
        <f>MOD(9681-1,101)</f>
        <v>85</v>
      </c>
    </row>
    <row r="9682">
      <c r="A9682">
        <f>MOD(9682-1,101)</f>
        <v>86</v>
      </c>
    </row>
    <row r="9683">
      <c r="A9683">
        <f>MOD(9683-1,101)</f>
        <v>87</v>
      </c>
    </row>
    <row r="9684">
      <c r="A9684">
        <f>MOD(9684-1,101)</f>
        <v>88</v>
      </c>
    </row>
    <row r="9685">
      <c r="A9685">
        <f>MOD(9685-1,101)</f>
        <v>89</v>
      </c>
    </row>
    <row r="9686">
      <c r="A9686">
        <f>MOD(9686-1,101)</f>
        <v>90</v>
      </c>
    </row>
    <row r="9687">
      <c r="A9687">
        <f>MOD(9687-1,101)</f>
        <v>91</v>
      </c>
    </row>
    <row r="9688">
      <c r="A9688">
        <f>MOD(9688-1,101)</f>
        <v>92</v>
      </c>
    </row>
    <row r="9689">
      <c r="A9689">
        <f>MOD(9689-1,101)</f>
        <v>93</v>
      </c>
    </row>
    <row r="9690">
      <c r="A9690">
        <f>MOD(9690-1,101)</f>
        <v>94</v>
      </c>
    </row>
    <row r="9691">
      <c r="A9691">
        <f>MOD(9691-1,101)</f>
        <v>95</v>
      </c>
    </row>
    <row r="9692">
      <c r="A9692">
        <f>MOD(9692-1,101)</f>
        <v>96</v>
      </c>
    </row>
    <row r="9693">
      <c r="A9693">
        <f>MOD(9693-1,101)</f>
        <v>97</v>
      </c>
    </row>
    <row r="9694">
      <c r="A9694">
        <f>MOD(9694-1,101)</f>
        <v>98</v>
      </c>
    </row>
    <row r="9695">
      <c r="A9695">
        <f>MOD(9695-1,101)</f>
        <v>99</v>
      </c>
    </row>
    <row r="9696">
      <c r="A9696">
        <f>MOD(9696-1,101)</f>
        <v>100</v>
      </c>
    </row>
    <row r="9697">
      <c r="A9697">
        <f>MOD(9697-1,101)</f>
        <v>0</v>
      </c>
    </row>
    <row r="9698">
      <c r="A9698">
        <f>MOD(9698-1,101)</f>
        <v>1</v>
      </c>
    </row>
    <row r="9699">
      <c r="A9699">
        <f>MOD(9699-1,101)</f>
        <v>2</v>
      </c>
    </row>
    <row r="9700">
      <c r="A9700">
        <f>MOD(9700-1,101)</f>
        <v>3</v>
      </c>
    </row>
    <row r="9701">
      <c r="A9701">
        <f>MOD(9701-1,101)</f>
        <v>4</v>
      </c>
    </row>
    <row r="9702">
      <c r="A9702">
        <f>MOD(9702-1,101)</f>
        <v>5</v>
      </c>
    </row>
    <row r="9703">
      <c r="A9703">
        <f>MOD(9703-1,101)</f>
        <v>6</v>
      </c>
    </row>
    <row r="9704">
      <c r="A9704">
        <f>MOD(9704-1,101)</f>
        <v>7</v>
      </c>
    </row>
    <row r="9705">
      <c r="A9705">
        <f>MOD(9705-1,101)</f>
        <v>8</v>
      </c>
    </row>
    <row r="9706">
      <c r="A9706">
        <f>MOD(9706-1,101)</f>
        <v>9</v>
      </c>
    </row>
    <row r="9707">
      <c r="A9707">
        <f>MOD(9707-1,101)</f>
        <v>10</v>
      </c>
    </row>
    <row r="9708">
      <c r="A9708">
        <f>MOD(9708-1,101)</f>
        <v>11</v>
      </c>
    </row>
    <row r="9709">
      <c r="A9709">
        <f>MOD(9709-1,101)</f>
        <v>12</v>
      </c>
    </row>
    <row r="9710">
      <c r="A9710">
        <f>MOD(9710-1,101)</f>
        <v>13</v>
      </c>
    </row>
    <row r="9711">
      <c r="A9711">
        <f>MOD(9711-1,101)</f>
        <v>14</v>
      </c>
    </row>
    <row r="9712">
      <c r="A9712">
        <f>MOD(9712-1,101)</f>
        <v>15</v>
      </c>
    </row>
    <row r="9713">
      <c r="A9713">
        <f>MOD(9713-1,101)</f>
        <v>16</v>
      </c>
    </row>
    <row r="9714">
      <c r="A9714">
        <f>MOD(9714-1,101)</f>
        <v>17</v>
      </c>
    </row>
    <row r="9715">
      <c r="A9715">
        <f>MOD(9715-1,101)</f>
        <v>18</v>
      </c>
    </row>
    <row r="9716">
      <c r="A9716">
        <f>MOD(9716-1,101)</f>
        <v>19</v>
      </c>
    </row>
    <row r="9717">
      <c r="A9717">
        <f>MOD(9717-1,101)</f>
        <v>20</v>
      </c>
    </row>
    <row r="9718">
      <c r="A9718">
        <f>MOD(9718-1,101)</f>
        <v>21</v>
      </c>
    </row>
    <row r="9719">
      <c r="A9719">
        <f>MOD(9719-1,101)</f>
        <v>22</v>
      </c>
    </row>
    <row r="9720">
      <c r="A9720">
        <f>MOD(9720-1,101)</f>
        <v>23</v>
      </c>
    </row>
    <row r="9721">
      <c r="A9721">
        <f>MOD(9721-1,101)</f>
        <v>24</v>
      </c>
    </row>
    <row r="9722">
      <c r="A9722">
        <f>MOD(9722-1,101)</f>
        <v>25</v>
      </c>
    </row>
    <row r="9723">
      <c r="A9723">
        <f>MOD(9723-1,101)</f>
        <v>26</v>
      </c>
    </row>
    <row r="9724">
      <c r="A9724">
        <f>MOD(9724-1,101)</f>
        <v>27</v>
      </c>
    </row>
    <row r="9725">
      <c r="A9725">
        <f>MOD(9725-1,101)</f>
        <v>28</v>
      </c>
    </row>
    <row r="9726">
      <c r="A9726">
        <f>MOD(9726-1,101)</f>
        <v>29</v>
      </c>
    </row>
    <row r="9727">
      <c r="A9727">
        <f>MOD(9727-1,101)</f>
        <v>30</v>
      </c>
    </row>
    <row r="9728">
      <c r="A9728">
        <f>MOD(9728-1,101)</f>
        <v>31</v>
      </c>
    </row>
    <row r="9729">
      <c r="A9729">
        <f>MOD(9729-1,101)</f>
        <v>32</v>
      </c>
    </row>
    <row r="9730">
      <c r="A9730">
        <f>MOD(9730-1,101)</f>
        <v>33</v>
      </c>
    </row>
    <row r="9731">
      <c r="A9731">
        <f>MOD(9731-1,101)</f>
        <v>34</v>
      </c>
    </row>
    <row r="9732">
      <c r="A9732">
        <f>MOD(9732-1,101)</f>
        <v>35</v>
      </c>
    </row>
    <row r="9733">
      <c r="A9733">
        <f>MOD(9733-1,101)</f>
        <v>36</v>
      </c>
    </row>
    <row r="9734">
      <c r="A9734">
        <f>MOD(9734-1,101)</f>
        <v>37</v>
      </c>
    </row>
    <row r="9735">
      <c r="A9735">
        <f>MOD(9735-1,101)</f>
        <v>38</v>
      </c>
    </row>
    <row r="9736">
      <c r="A9736">
        <f>MOD(9736-1,101)</f>
        <v>39</v>
      </c>
    </row>
    <row r="9737">
      <c r="A9737">
        <f>MOD(9737-1,101)</f>
        <v>40</v>
      </c>
    </row>
    <row r="9738">
      <c r="A9738">
        <f>MOD(9738-1,101)</f>
        <v>41</v>
      </c>
    </row>
    <row r="9739">
      <c r="A9739">
        <f>MOD(9739-1,101)</f>
        <v>42</v>
      </c>
    </row>
    <row r="9740">
      <c r="A9740">
        <f>MOD(9740-1,101)</f>
        <v>43</v>
      </c>
    </row>
    <row r="9741">
      <c r="A9741">
        <f>MOD(9741-1,101)</f>
        <v>44</v>
      </c>
    </row>
    <row r="9742">
      <c r="A9742">
        <f>MOD(9742-1,101)</f>
        <v>45</v>
      </c>
    </row>
    <row r="9743">
      <c r="A9743">
        <f>MOD(9743-1,101)</f>
        <v>46</v>
      </c>
    </row>
    <row r="9744">
      <c r="A9744">
        <f>MOD(9744-1,101)</f>
        <v>47</v>
      </c>
    </row>
    <row r="9745">
      <c r="A9745">
        <f>MOD(9745-1,101)</f>
        <v>48</v>
      </c>
    </row>
    <row r="9746">
      <c r="A9746">
        <f>MOD(9746-1,101)</f>
        <v>49</v>
      </c>
    </row>
    <row r="9747">
      <c r="A9747">
        <f>MOD(9747-1,101)</f>
        <v>50</v>
      </c>
    </row>
    <row r="9748">
      <c r="A9748">
        <f>MOD(9748-1,101)</f>
        <v>51</v>
      </c>
    </row>
    <row r="9749">
      <c r="A9749">
        <f>MOD(9749-1,101)</f>
        <v>52</v>
      </c>
    </row>
    <row r="9750">
      <c r="A9750">
        <f>MOD(9750-1,101)</f>
        <v>53</v>
      </c>
    </row>
    <row r="9751">
      <c r="A9751">
        <f>MOD(9751-1,101)</f>
        <v>54</v>
      </c>
    </row>
    <row r="9752">
      <c r="A9752">
        <f>MOD(9752-1,101)</f>
        <v>55</v>
      </c>
    </row>
    <row r="9753">
      <c r="A9753">
        <f>MOD(9753-1,101)</f>
        <v>56</v>
      </c>
    </row>
    <row r="9754">
      <c r="A9754">
        <f>MOD(9754-1,101)</f>
        <v>57</v>
      </c>
    </row>
    <row r="9755">
      <c r="A9755">
        <f>MOD(9755-1,101)</f>
        <v>58</v>
      </c>
    </row>
    <row r="9756">
      <c r="A9756">
        <f>MOD(9756-1,101)</f>
        <v>59</v>
      </c>
    </row>
    <row r="9757">
      <c r="A9757">
        <f>MOD(9757-1,101)</f>
        <v>60</v>
      </c>
    </row>
    <row r="9758">
      <c r="A9758">
        <f>MOD(9758-1,101)</f>
        <v>61</v>
      </c>
    </row>
    <row r="9759">
      <c r="A9759">
        <f>MOD(9759-1,101)</f>
        <v>62</v>
      </c>
    </row>
    <row r="9760">
      <c r="A9760">
        <f>MOD(9760-1,101)</f>
        <v>63</v>
      </c>
    </row>
    <row r="9761">
      <c r="A9761">
        <f>MOD(9761-1,101)</f>
        <v>64</v>
      </c>
    </row>
    <row r="9762">
      <c r="A9762">
        <f>MOD(9762-1,101)</f>
        <v>65</v>
      </c>
    </row>
    <row r="9763">
      <c r="A9763">
        <f>MOD(9763-1,101)</f>
        <v>66</v>
      </c>
    </row>
    <row r="9764">
      <c r="A9764">
        <f>MOD(9764-1,101)</f>
        <v>67</v>
      </c>
    </row>
    <row r="9765">
      <c r="A9765">
        <f>MOD(9765-1,101)</f>
        <v>68</v>
      </c>
    </row>
    <row r="9766">
      <c r="A9766">
        <f>MOD(9766-1,101)</f>
        <v>69</v>
      </c>
    </row>
    <row r="9767">
      <c r="A9767">
        <f>MOD(9767-1,101)</f>
        <v>70</v>
      </c>
    </row>
    <row r="9768">
      <c r="A9768">
        <f>MOD(9768-1,101)</f>
        <v>71</v>
      </c>
    </row>
    <row r="9769">
      <c r="A9769">
        <f>MOD(9769-1,101)</f>
        <v>72</v>
      </c>
    </row>
    <row r="9770">
      <c r="A9770">
        <f>MOD(9770-1,101)</f>
        <v>73</v>
      </c>
    </row>
    <row r="9771">
      <c r="A9771">
        <f>MOD(9771-1,101)</f>
        <v>74</v>
      </c>
    </row>
    <row r="9772">
      <c r="A9772">
        <f>MOD(9772-1,101)</f>
        <v>75</v>
      </c>
    </row>
    <row r="9773">
      <c r="A9773">
        <f>MOD(9773-1,101)</f>
        <v>76</v>
      </c>
    </row>
    <row r="9774">
      <c r="A9774">
        <f>MOD(9774-1,101)</f>
        <v>77</v>
      </c>
    </row>
    <row r="9775">
      <c r="A9775">
        <f>MOD(9775-1,101)</f>
        <v>78</v>
      </c>
    </row>
    <row r="9776">
      <c r="A9776">
        <f>MOD(9776-1,101)</f>
        <v>79</v>
      </c>
    </row>
    <row r="9777">
      <c r="A9777">
        <f>MOD(9777-1,101)</f>
        <v>80</v>
      </c>
    </row>
    <row r="9778">
      <c r="A9778">
        <f>MOD(9778-1,101)</f>
        <v>81</v>
      </c>
    </row>
    <row r="9779">
      <c r="A9779">
        <f>MOD(9779-1,101)</f>
        <v>82</v>
      </c>
    </row>
    <row r="9780">
      <c r="A9780">
        <f>MOD(9780-1,101)</f>
        <v>83</v>
      </c>
    </row>
    <row r="9781">
      <c r="A9781">
        <f>MOD(9781-1,101)</f>
        <v>84</v>
      </c>
    </row>
    <row r="9782">
      <c r="A9782">
        <f>MOD(9782-1,101)</f>
        <v>85</v>
      </c>
    </row>
    <row r="9783">
      <c r="A9783">
        <f>MOD(9783-1,101)</f>
        <v>86</v>
      </c>
    </row>
    <row r="9784">
      <c r="A9784">
        <f>MOD(9784-1,101)</f>
        <v>87</v>
      </c>
    </row>
    <row r="9785">
      <c r="A9785">
        <f>MOD(9785-1,101)</f>
        <v>88</v>
      </c>
    </row>
    <row r="9786">
      <c r="A9786">
        <f>MOD(9786-1,101)</f>
        <v>89</v>
      </c>
    </row>
    <row r="9787">
      <c r="A9787">
        <f>MOD(9787-1,101)</f>
        <v>90</v>
      </c>
    </row>
    <row r="9788">
      <c r="A9788">
        <f>MOD(9788-1,101)</f>
        <v>91</v>
      </c>
    </row>
    <row r="9789">
      <c r="A9789">
        <f>MOD(9789-1,101)</f>
        <v>92</v>
      </c>
    </row>
    <row r="9790">
      <c r="A9790">
        <f>MOD(9790-1,101)</f>
        <v>93</v>
      </c>
    </row>
    <row r="9791">
      <c r="A9791">
        <f>MOD(9791-1,101)</f>
        <v>94</v>
      </c>
    </row>
    <row r="9792">
      <c r="A9792">
        <f>MOD(9792-1,101)</f>
        <v>95</v>
      </c>
    </row>
    <row r="9793">
      <c r="A9793">
        <f>MOD(9793-1,101)</f>
        <v>96</v>
      </c>
    </row>
    <row r="9794">
      <c r="A9794">
        <f>MOD(9794-1,101)</f>
        <v>97</v>
      </c>
    </row>
    <row r="9795">
      <c r="A9795">
        <f>MOD(9795-1,101)</f>
        <v>98</v>
      </c>
    </row>
    <row r="9796">
      <c r="A9796">
        <f>MOD(9796-1,101)</f>
        <v>99</v>
      </c>
    </row>
    <row r="9797">
      <c r="A9797">
        <f>MOD(9797-1,101)</f>
        <v>100</v>
      </c>
    </row>
    <row r="9798">
      <c r="A9798">
        <f>MOD(9798-1,101)</f>
        <v>0</v>
      </c>
    </row>
    <row r="9799">
      <c r="A9799">
        <f>MOD(9799-1,101)</f>
        <v>1</v>
      </c>
    </row>
    <row r="9800">
      <c r="A9800">
        <f>MOD(9800-1,101)</f>
        <v>2</v>
      </c>
    </row>
    <row r="9801">
      <c r="A9801">
        <f>MOD(9801-1,101)</f>
        <v>3</v>
      </c>
    </row>
    <row r="9802">
      <c r="A9802">
        <f>MOD(9802-1,101)</f>
        <v>4</v>
      </c>
    </row>
    <row r="9803">
      <c r="A9803">
        <f>MOD(9803-1,101)</f>
        <v>5</v>
      </c>
    </row>
    <row r="9804">
      <c r="A9804">
        <f>MOD(9804-1,101)</f>
        <v>6</v>
      </c>
    </row>
    <row r="9805">
      <c r="A9805">
        <f>MOD(9805-1,101)</f>
        <v>7</v>
      </c>
    </row>
    <row r="9806">
      <c r="A9806">
        <f>MOD(9806-1,101)</f>
        <v>8</v>
      </c>
    </row>
    <row r="9807">
      <c r="A9807">
        <f>MOD(9807-1,101)</f>
        <v>9</v>
      </c>
    </row>
    <row r="9808">
      <c r="A9808">
        <f>MOD(9808-1,101)</f>
        <v>10</v>
      </c>
    </row>
    <row r="9809">
      <c r="A9809">
        <f>MOD(9809-1,101)</f>
        <v>11</v>
      </c>
    </row>
    <row r="9810">
      <c r="A9810">
        <f>MOD(9810-1,101)</f>
        <v>12</v>
      </c>
    </row>
    <row r="9811">
      <c r="A9811">
        <f>MOD(9811-1,101)</f>
        <v>13</v>
      </c>
    </row>
    <row r="9812">
      <c r="A9812">
        <f>MOD(9812-1,101)</f>
        <v>14</v>
      </c>
    </row>
    <row r="9813">
      <c r="A9813">
        <f>MOD(9813-1,101)</f>
        <v>15</v>
      </c>
    </row>
    <row r="9814">
      <c r="A9814">
        <f>MOD(9814-1,101)</f>
        <v>16</v>
      </c>
    </row>
    <row r="9815">
      <c r="A9815">
        <f>MOD(9815-1,101)</f>
        <v>17</v>
      </c>
    </row>
    <row r="9816">
      <c r="A9816">
        <f>MOD(9816-1,101)</f>
        <v>18</v>
      </c>
    </row>
    <row r="9817">
      <c r="A9817">
        <f>MOD(9817-1,101)</f>
        <v>19</v>
      </c>
    </row>
    <row r="9818">
      <c r="A9818">
        <f>MOD(9818-1,101)</f>
        <v>20</v>
      </c>
    </row>
    <row r="9819">
      <c r="A9819">
        <f>MOD(9819-1,101)</f>
        <v>21</v>
      </c>
    </row>
    <row r="9820">
      <c r="A9820">
        <f>MOD(9820-1,101)</f>
        <v>22</v>
      </c>
    </row>
    <row r="9821">
      <c r="A9821">
        <f>MOD(9821-1,101)</f>
        <v>23</v>
      </c>
    </row>
    <row r="9822">
      <c r="A9822">
        <f>MOD(9822-1,101)</f>
        <v>24</v>
      </c>
    </row>
    <row r="9823">
      <c r="A9823">
        <f>MOD(9823-1,101)</f>
        <v>25</v>
      </c>
    </row>
    <row r="9824">
      <c r="A9824">
        <f>MOD(9824-1,101)</f>
        <v>26</v>
      </c>
    </row>
    <row r="9825">
      <c r="A9825">
        <f>MOD(9825-1,101)</f>
        <v>27</v>
      </c>
    </row>
    <row r="9826">
      <c r="A9826">
        <f>MOD(9826-1,101)</f>
        <v>28</v>
      </c>
    </row>
    <row r="9827">
      <c r="A9827">
        <f>MOD(9827-1,101)</f>
        <v>29</v>
      </c>
    </row>
    <row r="9828">
      <c r="A9828">
        <f>MOD(9828-1,101)</f>
        <v>30</v>
      </c>
    </row>
    <row r="9829">
      <c r="A9829">
        <f>MOD(9829-1,101)</f>
        <v>31</v>
      </c>
    </row>
    <row r="9830">
      <c r="A9830">
        <f>MOD(9830-1,101)</f>
        <v>32</v>
      </c>
    </row>
    <row r="9831">
      <c r="A9831">
        <f>MOD(9831-1,101)</f>
        <v>33</v>
      </c>
    </row>
    <row r="9832">
      <c r="A9832">
        <f>MOD(9832-1,101)</f>
        <v>34</v>
      </c>
    </row>
    <row r="9833">
      <c r="A9833">
        <f>MOD(9833-1,101)</f>
        <v>35</v>
      </c>
    </row>
    <row r="9834">
      <c r="A9834">
        <f>MOD(9834-1,101)</f>
        <v>36</v>
      </c>
    </row>
    <row r="9835">
      <c r="A9835">
        <f>MOD(9835-1,101)</f>
        <v>37</v>
      </c>
    </row>
    <row r="9836">
      <c r="A9836">
        <f>MOD(9836-1,101)</f>
        <v>38</v>
      </c>
    </row>
    <row r="9837">
      <c r="A9837">
        <f>MOD(9837-1,101)</f>
        <v>39</v>
      </c>
    </row>
    <row r="9838">
      <c r="A9838">
        <f>MOD(9838-1,101)</f>
        <v>40</v>
      </c>
    </row>
    <row r="9839">
      <c r="A9839">
        <f>MOD(9839-1,101)</f>
        <v>41</v>
      </c>
    </row>
    <row r="9840">
      <c r="A9840">
        <f>MOD(9840-1,101)</f>
        <v>42</v>
      </c>
    </row>
    <row r="9841">
      <c r="A9841">
        <f>MOD(9841-1,101)</f>
        <v>43</v>
      </c>
    </row>
    <row r="9842">
      <c r="A9842">
        <f>MOD(9842-1,101)</f>
        <v>44</v>
      </c>
    </row>
    <row r="9843">
      <c r="A9843">
        <f>MOD(9843-1,101)</f>
        <v>45</v>
      </c>
    </row>
    <row r="9844">
      <c r="A9844">
        <f>MOD(9844-1,101)</f>
        <v>46</v>
      </c>
    </row>
    <row r="9845">
      <c r="A9845">
        <f>MOD(9845-1,101)</f>
        <v>47</v>
      </c>
    </row>
    <row r="9846">
      <c r="A9846">
        <f>MOD(9846-1,101)</f>
        <v>48</v>
      </c>
    </row>
    <row r="9847">
      <c r="A9847">
        <f>MOD(9847-1,101)</f>
        <v>49</v>
      </c>
    </row>
    <row r="9848">
      <c r="A9848">
        <f>MOD(9848-1,101)</f>
        <v>50</v>
      </c>
    </row>
    <row r="9849">
      <c r="A9849">
        <f>MOD(9849-1,101)</f>
        <v>51</v>
      </c>
    </row>
    <row r="9850">
      <c r="A9850">
        <f>MOD(9850-1,101)</f>
        <v>52</v>
      </c>
    </row>
    <row r="9851">
      <c r="A9851">
        <f>MOD(9851-1,101)</f>
        <v>53</v>
      </c>
    </row>
    <row r="9852">
      <c r="A9852">
        <f>MOD(9852-1,101)</f>
        <v>54</v>
      </c>
    </row>
    <row r="9853">
      <c r="A9853">
        <f>MOD(9853-1,101)</f>
        <v>55</v>
      </c>
    </row>
    <row r="9854">
      <c r="A9854">
        <f>MOD(9854-1,101)</f>
        <v>56</v>
      </c>
    </row>
    <row r="9855">
      <c r="A9855">
        <f>MOD(9855-1,101)</f>
        <v>57</v>
      </c>
    </row>
    <row r="9856">
      <c r="A9856">
        <f>MOD(9856-1,101)</f>
        <v>58</v>
      </c>
    </row>
    <row r="9857">
      <c r="A9857">
        <f>MOD(9857-1,101)</f>
        <v>59</v>
      </c>
    </row>
    <row r="9858">
      <c r="A9858">
        <f>MOD(9858-1,101)</f>
        <v>60</v>
      </c>
    </row>
    <row r="9859">
      <c r="A9859">
        <f>MOD(9859-1,101)</f>
        <v>61</v>
      </c>
    </row>
    <row r="9860">
      <c r="A9860">
        <f>MOD(9860-1,101)</f>
        <v>62</v>
      </c>
    </row>
    <row r="9861">
      <c r="A9861">
        <f>MOD(9861-1,101)</f>
        <v>63</v>
      </c>
    </row>
    <row r="9862">
      <c r="A9862">
        <f>MOD(9862-1,101)</f>
        <v>64</v>
      </c>
    </row>
    <row r="9863">
      <c r="A9863">
        <f>MOD(9863-1,101)</f>
        <v>65</v>
      </c>
    </row>
    <row r="9864">
      <c r="A9864">
        <f>MOD(9864-1,101)</f>
        <v>66</v>
      </c>
    </row>
    <row r="9865">
      <c r="A9865">
        <f>MOD(9865-1,101)</f>
        <v>67</v>
      </c>
    </row>
    <row r="9866">
      <c r="A9866">
        <f>MOD(9866-1,101)</f>
        <v>68</v>
      </c>
    </row>
    <row r="9867">
      <c r="A9867">
        <f>MOD(9867-1,101)</f>
        <v>69</v>
      </c>
    </row>
    <row r="9868">
      <c r="A9868">
        <f>MOD(9868-1,101)</f>
        <v>70</v>
      </c>
    </row>
    <row r="9869">
      <c r="A9869">
        <f>MOD(9869-1,101)</f>
        <v>71</v>
      </c>
    </row>
    <row r="9870">
      <c r="A9870">
        <f>MOD(9870-1,101)</f>
        <v>72</v>
      </c>
    </row>
    <row r="9871">
      <c r="A9871">
        <f>MOD(9871-1,101)</f>
        <v>73</v>
      </c>
    </row>
    <row r="9872">
      <c r="A9872">
        <f>MOD(9872-1,101)</f>
        <v>74</v>
      </c>
    </row>
    <row r="9873">
      <c r="A9873">
        <f>MOD(9873-1,101)</f>
        <v>75</v>
      </c>
    </row>
    <row r="9874">
      <c r="A9874">
        <f>MOD(9874-1,101)</f>
        <v>76</v>
      </c>
    </row>
    <row r="9875">
      <c r="A9875">
        <f>MOD(9875-1,101)</f>
        <v>77</v>
      </c>
    </row>
    <row r="9876">
      <c r="A9876">
        <f>MOD(9876-1,101)</f>
        <v>78</v>
      </c>
    </row>
    <row r="9877">
      <c r="A9877">
        <f>MOD(9877-1,101)</f>
        <v>79</v>
      </c>
    </row>
    <row r="9878">
      <c r="A9878">
        <f>MOD(9878-1,101)</f>
        <v>80</v>
      </c>
    </row>
    <row r="9879">
      <c r="A9879">
        <f>MOD(9879-1,101)</f>
        <v>81</v>
      </c>
    </row>
    <row r="9880">
      <c r="A9880">
        <f>MOD(9880-1,101)</f>
        <v>82</v>
      </c>
    </row>
    <row r="9881">
      <c r="A9881">
        <f>MOD(9881-1,101)</f>
        <v>83</v>
      </c>
    </row>
    <row r="9882">
      <c r="A9882">
        <f>MOD(9882-1,101)</f>
        <v>84</v>
      </c>
    </row>
    <row r="9883">
      <c r="A9883">
        <f>MOD(9883-1,101)</f>
        <v>85</v>
      </c>
    </row>
    <row r="9884">
      <c r="A9884">
        <f>MOD(9884-1,101)</f>
        <v>86</v>
      </c>
    </row>
    <row r="9885">
      <c r="A9885">
        <f>MOD(9885-1,101)</f>
        <v>87</v>
      </c>
    </row>
    <row r="9886">
      <c r="A9886">
        <f>MOD(9886-1,101)</f>
        <v>88</v>
      </c>
    </row>
    <row r="9887">
      <c r="A9887">
        <f>MOD(9887-1,101)</f>
        <v>89</v>
      </c>
    </row>
    <row r="9888">
      <c r="A9888">
        <f>MOD(9888-1,101)</f>
        <v>90</v>
      </c>
    </row>
    <row r="9889">
      <c r="A9889">
        <f>MOD(9889-1,101)</f>
        <v>91</v>
      </c>
    </row>
    <row r="9890">
      <c r="A9890">
        <f>MOD(9890-1,101)</f>
        <v>92</v>
      </c>
    </row>
    <row r="9891">
      <c r="A9891">
        <f>MOD(9891-1,101)</f>
        <v>93</v>
      </c>
    </row>
    <row r="9892">
      <c r="A9892">
        <f>MOD(9892-1,101)</f>
        <v>94</v>
      </c>
    </row>
    <row r="9893">
      <c r="A9893">
        <f>MOD(9893-1,101)</f>
        <v>95</v>
      </c>
    </row>
    <row r="9894">
      <c r="A9894">
        <f>MOD(9894-1,101)</f>
        <v>96</v>
      </c>
    </row>
    <row r="9895">
      <c r="A9895">
        <f>MOD(9895-1,101)</f>
        <v>97</v>
      </c>
    </row>
    <row r="9896">
      <c r="A9896">
        <f>MOD(9896-1,101)</f>
        <v>98</v>
      </c>
    </row>
    <row r="9897">
      <c r="A9897">
        <f>MOD(9897-1,101)</f>
        <v>99</v>
      </c>
    </row>
    <row r="9898">
      <c r="A9898">
        <f>MOD(9898-1,101)</f>
        <v>100</v>
      </c>
    </row>
    <row r="9899">
      <c r="A9899">
        <f>MOD(9899-1,101)</f>
        <v>0</v>
      </c>
    </row>
    <row r="9900">
      <c r="A9900">
        <f>MOD(9900-1,101)</f>
        <v>1</v>
      </c>
    </row>
    <row r="9901">
      <c r="A9901">
        <f>MOD(9901-1,101)</f>
        <v>2</v>
      </c>
    </row>
    <row r="9902">
      <c r="A9902">
        <f>MOD(9902-1,101)</f>
        <v>3</v>
      </c>
    </row>
    <row r="9903">
      <c r="A9903">
        <f>MOD(9903-1,101)</f>
        <v>4</v>
      </c>
    </row>
    <row r="9904">
      <c r="A9904">
        <f>MOD(9904-1,101)</f>
        <v>5</v>
      </c>
    </row>
    <row r="9905">
      <c r="A9905">
        <f>MOD(9905-1,101)</f>
        <v>6</v>
      </c>
    </row>
    <row r="9906">
      <c r="A9906">
        <f>MOD(9906-1,101)</f>
        <v>7</v>
      </c>
    </row>
    <row r="9907">
      <c r="A9907">
        <f>MOD(9907-1,101)</f>
        <v>8</v>
      </c>
    </row>
    <row r="9908">
      <c r="A9908">
        <f>MOD(9908-1,101)</f>
        <v>9</v>
      </c>
    </row>
    <row r="9909">
      <c r="A9909">
        <f>MOD(9909-1,101)</f>
        <v>10</v>
      </c>
    </row>
    <row r="9910">
      <c r="A9910">
        <f>MOD(9910-1,101)</f>
        <v>11</v>
      </c>
    </row>
    <row r="9911">
      <c r="A9911">
        <f>MOD(9911-1,101)</f>
        <v>12</v>
      </c>
    </row>
    <row r="9912">
      <c r="A9912">
        <f>MOD(9912-1,101)</f>
        <v>13</v>
      </c>
    </row>
    <row r="9913">
      <c r="A9913">
        <f>MOD(9913-1,101)</f>
        <v>14</v>
      </c>
    </row>
    <row r="9914">
      <c r="A9914">
        <f>MOD(9914-1,101)</f>
        <v>15</v>
      </c>
    </row>
    <row r="9915">
      <c r="A9915">
        <f>MOD(9915-1,101)</f>
        <v>16</v>
      </c>
    </row>
    <row r="9916">
      <c r="A9916">
        <f>MOD(9916-1,101)</f>
        <v>17</v>
      </c>
    </row>
    <row r="9917">
      <c r="A9917">
        <f>MOD(9917-1,101)</f>
        <v>18</v>
      </c>
    </row>
    <row r="9918">
      <c r="A9918">
        <f>MOD(9918-1,101)</f>
        <v>19</v>
      </c>
    </row>
    <row r="9919">
      <c r="A9919">
        <f>MOD(9919-1,101)</f>
        <v>20</v>
      </c>
    </row>
    <row r="9920">
      <c r="A9920">
        <f>MOD(9920-1,101)</f>
        <v>21</v>
      </c>
    </row>
    <row r="9921">
      <c r="A9921">
        <f>MOD(9921-1,101)</f>
        <v>22</v>
      </c>
    </row>
    <row r="9922">
      <c r="A9922">
        <f>MOD(9922-1,101)</f>
        <v>23</v>
      </c>
    </row>
    <row r="9923">
      <c r="A9923">
        <f>MOD(9923-1,101)</f>
        <v>24</v>
      </c>
    </row>
    <row r="9924">
      <c r="A9924">
        <f>MOD(9924-1,101)</f>
        <v>25</v>
      </c>
    </row>
    <row r="9925">
      <c r="A9925">
        <f>MOD(9925-1,101)</f>
        <v>26</v>
      </c>
    </row>
    <row r="9926">
      <c r="A9926">
        <f>MOD(9926-1,101)</f>
        <v>27</v>
      </c>
    </row>
    <row r="9927">
      <c r="A9927">
        <f>MOD(9927-1,101)</f>
        <v>28</v>
      </c>
    </row>
    <row r="9928">
      <c r="A9928">
        <f>MOD(9928-1,101)</f>
        <v>29</v>
      </c>
    </row>
    <row r="9929">
      <c r="A9929">
        <f>MOD(9929-1,101)</f>
        <v>30</v>
      </c>
    </row>
    <row r="9930">
      <c r="A9930">
        <f>MOD(9930-1,101)</f>
        <v>31</v>
      </c>
    </row>
    <row r="9931">
      <c r="A9931">
        <f>MOD(9931-1,101)</f>
        <v>32</v>
      </c>
    </row>
    <row r="9932">
      <c r="A9932">
        <f>MOD(9932-1,101)</f>
        <v>33</v>
      </c>
    </row>
    <row r="9933">
      <c r="A9933">
        <f>MOD(9933-1,101)</f>
        <v>34</v>
      </c>
    </row>
    <row r="9934">
      <c r="A9934">
        <f>MOD(9934-1,101)</f>
        <v>35</v>
      </c>
    </row>
    <row r="9935">
      <c r="A9935">
        <f>MOD(9935-1,101)</f>
        <v>36</v>
      </c>
    </row>
    <row r="9936">
      <c r="A9936">
        <f>MOD(9936-1,101)</f>
        <v>37</v>
      </c>
    </row>
    <row r="9937">
      <c r="A9937">
        <f>MOD(9937-1,101)</f>
        <v>38</v>
      </c>
    </row>
    <row r="9938">
      <c r="A9938">
        <f>MOD(9938-1,101)</f>
        <v>39</v>
      </c>
    </row>
    <row r="9939">
      <c r="A9939">
        <f>MOD(9939-1,101)</f>
        <v>40</v>
      </c>
    </row>
    <row r="9940">
      <c r="A9940">
        <f>MOD(9940-1,101)</f>
        <v>41</v>
      </c>
    </row>
    <row r="9941">
      <c r="A9941">
        <f>MOD(9941-1,101)</f>
        <v>42</v>
      </c>
    </row>
    <row r="9942">
      <c r="A9942">
        <f>MOD(9942-1,101)</f>
        <v>43</v>
      </c>
    </row>
    <row r="9943">
      <c r="A9943">
        <f>MOD(9943-1,101)</f>
        <v>44</v>
      </c>
    </row>
    <row r="9944">
      <c r="A9944">
        <f>MOD(9944-1,101)</f>
        <v>45</v>
      </c>
    </row>
    <row r="9945">
      <c r="A9945">
        <f>MOD(9945-1,101)</f>
        <v>46</v>
      </c>
    </row>
    <row r="9946">
      <c r="A9946">
        <f>MOD(9946-1,101)</f>
        <v>47</v>
      </c>
    </row>
    <row r="9947">
      <c r="A9947">
        <f>MOD(9947-1,101)</f>
        <v>48</v>
      </c>
    </row>
    <row r="9948">
      <c r="A9948">
        <f>MOD(9948-1,101)</f>
        <v>49</v>
      </c>
    </row>
    <row r="9949">
      <c r="A9949">
        <f>MOD(9949-1,101)</f>
        <v>50</v>
      </c>
    </row>
    <row r="9950">
      <c r="A9950">
        <f>MOD(9950-1,101)</f>
        <v>51</v>
      </c>
    </row>
    <row r="9951">
      <c r="A9951">
        <f>MOD(9951-1,101)</f>
        <v>52</v>
      </c>
    </row>
    <row r="9952">
      <c r="A9952">
        <f>MOD(9952-1,101)</f>
        <v>53</v>
      </c>
    </row>
    <row r="9953">
      <c r="A9953">
        <f>MOD(9953-1,101)</f>
        <v>54</v>
      </c>
    </row>
    <row r="9954">
      <c r="A9954">
        <f>MOD(9954-1,101)</f>
        <v>55</v>
      </c>
    </row>
    <row r="9955">
      <c r="A9955">
        <f>MOD(9955-1,101)</f>
        <v>56</v>
      </c>
    </row>
    <row r="9956">
      <c r="A9956">
        <f>MOD(9956-1,101)</f>
        <v>57</v>
      </c>
    </row>
    <row r="9957">
      <c r="A9957">
        <f>MOD(9957-1,101)</f>
        <v>58</v>
      </c>
    </row>
    <row r="9958">
      <c r="A9958">
        <f>MOD(9958-1,101)</f>
        <v>59</v>
      </c>
    </row>
    <row r="9959">
      <c r="A9959">
        <f>MOD(9959-1,101)</f>
        <v>60</v>
      </c>
    </row>
    <row r="9960">
      <c r="A9960">
        <f>MOD(9960-1,101)</f>
        <v>61</v>
      </c>
    </row>
    <row r="9961">
      <c r="A9961">
        <f>MOD(9961-1,101)</f>
        <v>62</v>
      </c>
    </row>
    <row r="9962">
      <c r="A9962">
        <f>MOD(9962-1,101)</f>
        <v>63</v>
      </c>
    </row>
    <row r="9963">
      <c r="A9963">
        <f>MOD(9963-1,101)</f>
        <v>64</v>
      </c>
    </row>
    <row r="9964">
      <c r="A9964">
        <f>MOD(9964-1,101)</f>
        <v>65</v>
      </c>
    </row>
    <row r="9965">
      <c r="A9965">
        <f>MOD(9965-1,101)</f>
        <v>66</v>
      </c>
    </row>
    <row r="9966">
      <c r="A9966">
        <f>MOD(9966-1,101)</f>
        <v>67</v>
      </c>
    </row>
    <row r="9967">
      <c r="A9967">
        <f>MOD(9967-1,101)</f>
        <v>68</v>
      </c>
    </row>
    <row r="9968">
      <c r="A9968">
        <f>MOD(9968-1,101)</f>
        <v>69</v>
      </c>
    </row>
    <row r="9969">
      <c r="A9969">
        <f>MOD(9969-1,101)</f>
        <v>70</v>
      </c>
    </row>
    <row r="9970">
      <c r="A9970">
        <f>MOD(9970-1,101)</f>
        <v>71</v>
      </c>
    </row>
    <row r="9971">
      <c r="A9971">
        <f>MOD(9971-1,101)</f>
        <v>72</v>
      </c>
    </row>
    <row r="9972">
      <c r="A9972">
        <f>MOD(9972-1,101)</f>
        <v>73</v>
      </c>
    </row>
    <row r="9973">
      <c r="A9973">
        <f>MOD(9973-1,101)</f>
        <v>74</v>
      </c>
    </row>
    <row r="9974">
      <c r="A9974">
        <f>MOD(9974-1,101)</f>
        <v>75</v>
      </c>
    </row>
    <row r="9975">
      <c r="A9975">
        <f>MOD(9975-1,101)</f>
        <v>76</v>
      </c>
    </row>
    <row r="9976">
      <c r="A9976">
        <f>MOD(9976-1,101)</f>
        <v>77</v>
      </c>
    </row>
    <row r="9977">
      <c r="A9977">
        <f>MOD(9977-1,101)</f>
        <v>78</v>
      </c>
    </row>
    <row r="9978">
      <c r="A9978">
        <f>MOD(9978-1,101)</f>
        <v>79</v>
      </c>
    </row>
    <row r="9979">
      <c r="A9979">
        <f>MOD(9979-1,101)</f>
        <v>80</v>
      </c>
    </row>
    <row r="9980">
      <c r="A9980">
        <f>MOD(9980-1,101)</f>
        <v>81</v>
      </c>
    </row>
    <row r="9981">
      <c r="A9981">
        <f>MOD(9981-1,101)</f>
        <v>82</v>
      </c>
    </row>
    <row r="9982">
      <c r="A9982">
        <f>MOD(9982-1,101)</f>
        <v>83</v>
      </c>
    </row>
    <row r="9983">
      <c r="A9983">
        <f>MOD(9983-1,101)</f>
        <v>84</v>
      </c>
    </row>
    <row r="9984">
      <c r="A9984">
        <f>MOD(9984-1,101)</f>
        <v>85</v>
      </c>
    </row>
    <row r="9985">
      <c r="A9985">
        <f>MOD(9985-1,101)</f>
        <v>86</v>
      </c>
    </row>
    <row r="9986">
      <c r="A9986">
        <f>MOD(9986-1,101)</f>
        <v>87</v>
      </c>
    </row>
    <row r="9987">
      <c r="A9987">
        <f>MOD(9987-1,101)</f>
        <v>88</v>
      </c>
    </row>
    <row r="9988">
      <c r="A9988">
        <f>MOD(9988-1,101)</f>
        <v>89</v>
      </c>
    </row>
    <row r="9989">
      <c r="A9989">
        <f>MOD(9989-1,101)</f>
        <v>90</v>
      </c>
    </row>
    <row r="9990">
      <c r="A9990">
        <f>MOD(9990-1,101)</f>
        <v>91</v>
      </c>
    </row>
    <row r="9991">
      <c r="A9991">
        <f>MOD(9991-1,101)</f>
        <v>92</v>
      </c>
    </row>
    <row r="9992">
      <c r="A9992">
        <f>MOD(9992-1,101)</f>
        <v>93</v>
      </c>
    </row>
    <row r="9993">
      <c r="A9993">
        <f>MOD(9993-1,101)</f>
        <v>94</v>
      </c>
    </row>
    <row r="9994">
      <c r="A9994">
        <f>MOD(9994-1,101)</f>
        <v>95</v>
      </c>
    </row>
    <row r="9995">
      <c r="A9995">
        <f>MOD(9995-1,101)</f>
        <v>96</v>
      </c>
    </row>
    <row r="9996">
      <c r="A9996">
        <f>MOD(9996-1,101)</f>
        <v>97</v>
      </c>
    </row>
    <row r="9997">
      <c r="A9997">
        <f>MOD(9997-1,101)</f>
        <v>98</v>
      </c>
    </row>
    <row r="9998">
      <c r="A9998">
        <f>MOD(9998-1,101)</f>
        <v>99</v>
      </c>
    </row>
    <row r="9999">
      <c r="A9999">
        <f>MOD(9999-1,101)</f>
        <v>100</v>
      </c>
    </row>
    <row r="10000">
      <c r="A10000">
        <f>MOD(10000-1,101)</f>
        <v>0</v>
      </c>
    </row>
  </sheetData>
  <conditionalFormatting sqref="A1:A10000">
    <cfRule type="duplicateValues" priority="1" dxfId="0"/>
  </conditionalFormatting>
  <conditionalFormatting sqref="A1:A10000">
    <cfRule type="top10" priority="2" rank="10" dxfId="0"/>
  </conditionalFormatting>
  <conditionalFormatting sqref="A1:A10000">
    <cfRule type="aboveAverage" priority="3" dxfId="0"/>
  </conditionalFormatting>
  <conditionalFormatting sqref="A1:A10000">
    <cfRule type="colorScale" priority="4">
      <colorScale>
        <cfvo type="min"/>
        <cfvo type="percentile" val="50"/>
        <cfvo type="max"/>
        <color rgb="FF000000"/>
        <color rgb="FF00FF00"/>
        <color rgb="FFFFFFFF"/>
      </colorScale>
    </cfRule>
  </conditionalFormatting>
</worksheet>
</file>