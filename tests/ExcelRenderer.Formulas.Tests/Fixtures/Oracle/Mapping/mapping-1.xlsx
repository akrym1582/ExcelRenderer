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1fcd40d65490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voice" sheetId="1" r:id="R0b835b3e387f42b5"/>
    <x:sheet xmlns:r="http://schemas.openxmlformats.org/officeDocument/2006/relationships" name="Rates" sheetId="2" r:id="Rf0e7b0421c9a4b76"/>
    <x:sheet xmlns:r="http://schemas.openxmlformats.org/officeDocument/2006/relationships" name="Master" sheetId="3" r:id="Rbc399fb77c0f47e8"/>
  </x:sheets>
  <x:definedNames>
    <x:definedName name="Amounts">Invoice!$D$1:$D$2</x:definedName>
    <x:definedName name="Categories">Invoice!$F$1:$F$2</x:definedName>
  </x:definedNames>
  <x:calcPr fullCalcOnLoad="1" forceFullCalc="1"/>
</x:workbook>
</file>

<file path=xl/styles.xml><?xml version="1.0" encoding="utf-8"?>
<x:styleSheet xmlns:x="http://schemas.openxmlformats.org/spreadsheetml/2006/main">
  <x:fonts>
    <x:font>
      <x:sz val="11"/>
      <x:name val="Noto Sans JP"/>
    </x:font>
  </x:fonts>
  <x:fills>
    <x:fill>
      <x:patternFill patternType="none"/>
    </x:fill>
    <x:fill>
      <x:patternFill patternType="gray125"/>
    </x:fill>
  </x:fills>
  <x:borders>
    <x:border/>
  </x:borders>
  <x:cellStyleXfs>
    <x:xf/>
  </x:cellStyleXfs>
  <x:cellXfs>
    <x:xf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835b3e387f42b5" /><Relationship Type="http://schemas.openxmlformats.org/officeDocument/2006/relationships/worksheet" Target="/xl/worksheets/sheet2.xml" Id="Rf0e7b0421c9a4b76" /><Relationship Type="http://schemas.openxmlformats.org/officeDocument/2006/relationships/worksheet" Target="/xl/worksheets/sheet3.xml" Id="Rbc399fb77c0f47e8" /><Relationship Type="http://schemas.openxmlformats.org/officeDocument/2006/relationships/styles" Target="/xl/styles.xml" Id="Rbbff23cc40974f0c" /></Relationships>
</file>

<file path=xl/worksheets/sheet1.xml><?xml version="1.0" encoding="utf-8"?>
<worksheet xmlns:x="http://schemas.openxmlformats.org/spreadsheetml/2006/main" xmlns="http://schemas.openxmlformats.org/spreadsheetml/2006/main">
  <x:cols>
    <x:col min="1" max="6" width="10" customWidth="1"/>
  </x:cols>
  <x:sheetData>
    <row xmlns="http://schemas.openxmlformats.org/spreadsheetml/2006/main" r="1" spans="1:6">
      <c r="A1" t="inlineStr">
        <is>
          <t>Quantity</t>
        </is>
      </c>
      <c r="B1" t="inlineStr">
        <is>
          <t>Code</t>
        </is>
      </c>
      <c r="C1" t="inlineStr">
        <is>
          <t>Net</t>
        </is>
      </c>
      <c r="D1" t="inlineStr">
        <is>
          <t>Gross</t>
        </is>
      </c>
      <c r="E1" t="inlineStr">
        <is>
          <t>Name</t>
        </is>
      </c>
      <c r="F1" t="inlineStr">
        <is>
          <t>Category</t>
        </is>
      </c>
    </row>
    <row xmlns="http://schemas.openxmlformats.org/spreadsheetml/2006/main" r="2" spans="1:6">
      <c r="A2">
        <v>1</v>
      </c>
      <c r="B2" t="inlineStr">
        <is>
          <t xml:space="preserve">001</t>
        </is>
      </c>
      <c r="C2">
        <f>(A2*VLOOKUP(B2,'Master'!$A$1:$C$2,3,FALSE))</f>
      </c>
      <c r="D2">
        <f>ROUND((C2*((1+'Rates'!$A$1))),0)</f>
      </c>
      <c r="E2">
        <f>VLOOKUP(B2,'Master'!$A$1:$C$2,2,FALSE)</f>
      </c>
      <c r="F2">
        <f>IF((MOD(A2,2)=0),"B","A")</f>
      </c>
    </row>
    <row xmlns="http://schemas.openxmlformats.org/spreadsheetml/2006/main" r="3" spans="1:4">
      <c r="A3" t="inlineStr">
        <is>
          <t>Total</t>
        </is>
      </c>
      <c r="D3">
        <f>SUM(Amounts)</f>
      </c>
    </row>
    <row xmlns="http://schemas.openxmlformats.org/spreadsheetml/2006/main" r="4" spans="1:5">
      <c r="A4" t="inlineStr">
        <is>
          <t>Category A</t>
        </is>
      </c>
      <c r="D4">
        <f>SUMIFS(Amounts,Categories,"A")</f>
      </c>
      <c r="E4">
        <f>COUNTIFS(Categories,"A")</f>
      </c>
    </row>
    <row xmlns="http://schemas.openxmlformats.org/spreadsheetml/2006/main" r="5" spans="1:3">
      <c r="A5">
        <f>DATE(2026,10,17)</f>
      </c>
      <c r="B5">
        <f>EOMONTH(A5,1)</f>
      </c>
      <c r="C5">
        <f>TEXT(A5,"yyyy年mm月")</f>
      </c>
    </row>
  </x:sheetData>
</worksheet>
</file>

<file path=xl/worksheets/sheet2.xml><?xml version="1.0" encoding="utf-8"?>
<worksheet xmlns:x="http://schemas.openxmlformats.org/spreadsheetml/2006/main" xmlns="http://schemas.openxmlformats.org/spreadsheetml/2006/main">
  <x:sheetData>
    <row xmlns="http://schemas.openxmlformats.org/spreadsheetml/2006/main" r="1" spans="1:1">
      <c r="A1">
        <v>0.1</v>
      </c>
    </row>
  </x:sheetData>
</worksheet>
</file>

<file path=xl/worksheets/sheet3.xml><?xml version="1.0" encoding="utf-8"?>
<worksheet xmlns:x="http://schemas.openxmlformats.org/spreadsheetml/2006/main" xmlns="http://schemas.openxmlformats.org/spreadsheetml/2006/main">
  <x:sheetData>
    <row xmlns="http://schemas.openxmlformats.org/spreadsheetml/2006/main" r="1" spans="1:3">
      <c r="A1" t="inlineStr">
        <is>
          <t>001</t>
        </is>
      </c>
      <c r="B1" t="inlineStr">
        <is>
          <t>Item one</t>
        </is>
      </c>
      <c r="C1">
        <v>10</v>
      </c>
    </row>
    <row xmlns="http://schemas.openxmlformats.org/spreadsheetml/2006/main" r="2" spans="1:3">
      <c r="A2" t="inlineStr">
        <is>
          <t>002</t>
        </is>
      </c>
      <c r="B2" t="inlineStr">
        <is>
          <t>Item two</t>
        </is>
      </c>
      <c r="C2">
        <v>25</v>
      </c>
    </row>
  </x:sheetData>
</worksheet>
</file>