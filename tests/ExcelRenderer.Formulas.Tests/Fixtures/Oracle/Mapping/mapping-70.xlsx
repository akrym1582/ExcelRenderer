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0bfdf086d487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voice" sheetId="1" r:id="R66113bdc424146c3"/>
    <x:sheet xmlns:r="http://schemas.openxmlformats.org/officeDocument/2006/relationships" name="Rates" sheetId="2" r:id="Rf8fd0cfdc96a4e58"/>
    <x:sheet xmlns:r="http://schemas.openxmlformats.org/officeDocument/2006/relationships" name="Master" sheetId="3" r:id="R01d7797ecf1c4544"/>
  </x:sheets>
  <x:definedNames>
    <x:definedName name="Amounts">'Invoice'!$D$1:$D$71</x:definedName>
    <x:definedName name="Categories">'Invoice'!$F$1:$F$71</x:definedName>
  </x:definedNames>
  <x:calcPr fullCalcOnLoad="1" forceFullCalc="1"/>
</x:workbook>
</file>

<file path=xl/styles.xml><?xml version="1.0" encoding="utf-8"?>
<x:styleSheet xmlns:x="http://schemas.openxmlformats.org/spreadsheetml/2006/main">
  <x:fonts>
    <x:font>
      <x:sz val="11"/>
      <x:name val="Noto Sans JP"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113bdc424146c3" /><Relationship Type="http://schemas.openxmlformats.org/officeDocument/2006/relationships/worksheet" Target="/xl/worksheets/sheet2.xml" Id="Rf8fd0cfdc96a4e58" /><Relationship Type="http://schemas.openxmlformats.org/officeDocument/2006/relationships/worksheet" Target="/xl/worksheets/sheet3.xml" Id="R01d7797ecf1c4544" /><Relationship Type="http://schemas.openxmlformats.org/officeDocument/2006/relationships/styles" Target="/xl/styles.xml" Id="R5b33efb4eec848fe" /></Relationships>
</file>

<file path=xl/worksheets/sheet1.xml><?xml version="1.0" encoding="utf-8"?>
<worksheet xmlns:x="http://schemas.openxmlformats.org/spreadsheetml/2006/main" xmlns="http://schemas.openxmlformats.org/spreadsheetml/2006/main">
  <x:cols>
    <x:col min="1" max="6" width="10" customWidth="1"/>
  </x:cols>
  <x:sheetData>
    <row xmlns="http://schemas.openxmlformats.org/spreadsheetml/2006/main" r="1" spans="1:6">
      <c r="A1" t="inlineStr">
        <is>
          <t>Quantity</t>
        </is>
      </c>
      <c r="B1" t="inlineStr">
        <is>
          <t>Code</t>
        </is>
      </c>
      <c r="C1" t="inlineStr">
        <is>
          <t>Net</t>
        </is>
      </c>
      <c r="D1" t="inlineStr">
        <is>
          <t>Gross</t>
        </is>
      </c>
      <c r="E1" t="inlineStr">
        <is>
          <t>Name</t>
        </is>
      </c>
      <c r="F1" t="inlineStr">
        <is>
          <t>Category</t>
        </is>
      </c>
    </row>
    <row xmlns="http://schemas.openxmlformats.org/spreadsheetml/2006/main" r="2" spans="1:6">
      <c r="A2">
        <v>1</v>
      </c>
      <c r="B2" t="inlineStr">
        <is>
          <t xml:space="preserve">001</t>
        </is>
      </c>
      <c r="C2">
        <f>(A2*VLOOKUP(B2,'Master'!$A$1:$C$2,3,FALSE))</f>
      </c>
      <c r="D2">
        <f>ROUND((C2*((1+'Rates'!$A$1))),0)</f>
      </c>
      <c r="E2">
        <f>VLOOKUP(B2,'Master'!$A$1:$C$2,2,FALSE)</f>
      </c>
      <c r="F2">
        <f>IF((MOD(A2,2)=0),"B","A")</f>
      </c>
    </row>
    <row xmlns="http://schemas.openxmlformats.org/spreadsheetml/2006/main" r="3" spans="1:6">
      <c r="A3">
        <v>2</v>
      </c>
      <c r="B3" t="inlineStr">
        <is>
          <t xml:space="preserve">001</t>
        </is>
      </c>
      <c r="C3">
        <f>(A3*VLOOKUP(B3,'Master'!$A$1:$C$2,3,FALSE))</f>
      </c>
      <c r="D3">
        <f>ROUND((C3*((1+'Rates'!$A$1))),0)</f>
      </c>
      <c r="E3">
        <f>VLOOKUP(B3,'Master'!$A$1:$C$2,2,FALSE)</f>
      </c>
      <c r="F3">
        <f>IF((MOD(A3,2)=0),"B","A")</f>
      </c>
    </row>
    <row xmlns="http://schemas.openxmlformats.org/spreadsheetml/2006/main" r="4" spans="1:6">
      <c r="A4">
        <v>3</v>
      </c>
      <c r="B4" t="inlineStr">
        <is>
          <t xml:space="preserve">001</t>
        </is>
      </c>
      <c r="C4">
        <f>(A4*VLOOKUP(B4,'Master'!$A$1:$C$2,3,FALSE))</f>
      </c>
      <c r="D4">
        <f>ROUND((C4*((1+'Rates'!$A$1))),0)</f>
      </c>
      <c r="E4">
        <f>VLOOKUP(B4,'Master'!$A$1:$C$2,2,FALSE)</f>
      </c>
      <c r="F4">
        <f>IF((MOD(A4,2)=0),"B","A")</f>
      </c>
    </row>
    <row xmlns="http://schemas.openxmlformats.org/spreadsheetml/2006/main" r="5" spans="1:6">
      <c r="A5">
        <v>4</v>
      </c>
      <c r="B5" t="inlineStr">
        <is>
          <t xml:space="preserve">001</t>
        </is>
      </c>
      <c r="C5">
        <f>(A5*VLOOKUP(B5,'Master'!$A$1:$C$2,3,FALSE))</f>
      </c>
      <c r="D5">
        <f>ROUND((C5*((1+'Rates'!$A$1))),0)</f>
      </c>
      <c r="E5">
        <f>VLOOKUP(B5,'Master'!$A$1:$C$2,2,FALSE)</f>
      </c>
      <c r="F5">
        <f>IF((MOD(A5,2)=0),"B","A")</f>
      </c>
    </row>
    <row xmlns="http://schemas.openxmlformats.org/spreadsheetml/2006/main" r="6" spans="1:6">
      <c r="A6">
        <v>5</v>
      </c>
      <c r="B6" t="inlineStr">
        <is>
          <t xml:space="preserve">001</t>
        </is>
      </c>
      <c r="C6">
        <f>(A6*VLOOKUP(B6,'Master'!$A$1:$C$2,3,FALSE))</f>
      </c>
      <c r="D6">
        <f>ROUND((C6*((1+'Rates'!$A$1))),0)</f>
      </c>
      <c r="E6">
        <f>VLOOKUP(B6,'Master'!$A$1:$C$2,2,FALSE)</f>
      </c>
      <c r="F6">
        <f>IF((MOD(A6,2)=0),"B","A")</f>
      </c>
    </row>
    <row xmlns="http://schemas.openxmlformats.org/spreadsheetml/2006/main" r="7" spans="1:6">
      <c r="A7">
        <v>6</v>
      </c>
      <c r="B7" t="inlineStr">
        <is>
          <t xml:space="preserve">001</t>
        </is>
      </c>
      <c r="C7">
        <f>(A7*VLOOKUP(B7,'Master'!$A$1:$C$2,3,FALSE))</f>
      </c>
      <c r="D7">
        <f>ROUND((C7*((1+'Rates'!$A$1))),0)</f>
      </c>
      <c r="E7">
        <f>VLOOKUP(B7,'Master'!$A$1:$C$2,2,FALSE)</f>
      </c>
      <c r="F7">
        <f>IF((MOD(A7,2)=0),"B","A")</f>
      </c>
    </row>
    <row xmlns="http://schemas.openxmlformats.org/spreadsheetml/2006/main" r="8" spans="1:6">
      <c r="A8">
        <v>7</v>
      </c>
      <c r="B8" t="inlineStr">
        <is>
          <t xml:space="preserve">001</t>
        </is>
      </c>
      <c r="C8">
        <f>(A8*VLOOKUP(B8,'Master'!$A$1:$C$2,3,FALSE))</f>
      </c>
      <c r="D8">
        <f>ROUND((C8*((1+'Rates'!$A$1))),0)</f>
      </c>
      <c r="E8">
        <f>VLOOKUP(B8,'Master'!$A$1:$C$2,2,FALSE)</f>
      </c>
      <c r="F8">
        <f>IF((MOD(A8,2)=0),"B","A")</f>
      </c>
    </row>
    <row xmlns="http://schemas.openxmlformats.org/spreadsheetml/2006/main" r="9" spans="1:6">
      <c r="A9">
        <v>8</v>
      </c>
      <c r="B9" t="inlineStr">
        <is>
          <t xml:space="preserve">001</t>
        </is>
      </c>
      <c r="C9">
        <f>(A9*VLOOKUP(B9,'Master'!$A$1:$C$2,3,FALSE))</f>
      </c>
      <c r="D9">
        <f>ROUND((C9*((1+'Rates'!$A$1))),0)</f>
      </c>
      <c r="E9">
        <f>VLOOKUP(B9,'Master'!$A$1:$C$2,2,FALSE)</f>
      </c>
      <c r="F9">
        <f>IF((MOD(A9,2)=0),"B","A")</f>
      </c>
    </row>
    <row xmlns="http://schemas.openxmlformats.org/spreadsheetml/2006/main" r="10" spans="1:6">
      <c r="A10">
        <v>9</v>
      </c>
      <c r="B10" t="inlineStr">
        <is>
          <t xml:space="preserve">001</t>
        </is>
      </c>
      <c r="C10">
        <f>(A10*VLOOKUP(B10,'Master'!$A$1:$C$2,3,FALSE))</f>
      </c>
      <c r="D10">
        <f>ROUND((C10*((1+'Rates'!$A$1))),0)</f>
      </c>
      <c r="E10">
        <f>VLOOKUP(B10,'Master'!$A$1:$C$2,2,FALSE)</f>
      </c>
      <c r="F10">
        <f>IF((MOD(A10,2)=0),"B","A")</f>
      </c>
    </row>
    <row xmlns="http://schemas.openxmlformats.org/spreadsheetml/2006/main" r="11" spans="1:6">
      <c r="A11">
        <v>10</v>
      </c>
      <c r="B11" t="inlineStr">
        <is>
          <t xml:space="preserve">001</t>
        </is>
      </c>
      <c r="C11">
        <f>(A11*VLOOKUP(B11,'Master'!$A$1:$C$2,3,FALSE))</f>
      </c>
      <c r="D11">
        <f>ROUND((C11*((1+'Rates'!$A$1))),0)</f>
      </c>
      <c r="E11">
        <f>VLOOKUP(B11,'Master'!$A$1:$C$2,2,FALSE)</f>
      </c>
      <c r="F11">
        <f>IF((MOD(A11,2)=0),"B","A")</f>
      </c>
    </row>
    <row xmlns="http://schemas.openxmlformats.org/spreadsheetml/2006/main" r="12" spans="1:6">
      <c r="A12">
        <v>11</v>
      </c>
      <c r="B12" t="inlineStr">
        <is>
          <t xml:space="preserve">001</t>
        </is>
      </c>
      <c r="C12">
        <f>(A12*VLOOKUP(B12,'Master'!$A$1:$C$2,3,FALSE))</f>
      </c>
      <c r="D12">
        <f>ROUND((C12*((1+'Rates'!$A$1))),0)</f>
      </c>
      <c r="E12">
        <f>VLOOKUP(B12,'Master'!$A$1:$C$2,2,FALSE)</f>
      </c>
      <c r="F12">
        <f>IF((MOD(A12,2)=0),"B","A")</f>
      </c>
    </row>
    <row xmlns="http://schemas.openxmlformats.org/spreadsheetml/2006/main" r="13" spans="1:6">
      <c r="A13">
        <v>12</v>
      </c>
      <c r="B13" t="inlineStr">
        <is>
          <t xml:space="preserve">001</t>
        </is>
      </c>
      <c r="C13">
        <f>(A13*VLOOKUP(B13,'Master'!$A$1:$C$2,3,FALSE))</f>
      </c>
      <c r="D13">
        <f>ROUND((C13*((1+'Rates'!$A$1))),0)</f>
      </c>
      <c r="E13">
        <f>VLOOKUP(B13,'Master'!$A$1:$C$2,2,FALSE)</f>
      </c>
      <c r="F13">
        <f>IF((MOD(A13,2)=0),"B","A")</f>
      </c>
    </row>
    <row xmlns="http://schemas.openxmlformats.org/spreadsheetml/2006/main" r="14" spans="1:6">
      <c r="A14">
        <v>13</v>
      </c>
      <c r="B14" t="inlineStr">
        <is>
          <t xml:space="preserve">001</t>
        </is>
      </c>
      <c r="C14">
        <f>(A14*VLOOKUP(B14,'Master'!$A$1:$C$2,3,FALSE))</f>
      </c>
      <c r="D14">
        <f>ROUND((C14*((1+'Rates'!$A$1))),0)</f>
      </c>
      <c r="E14">
        <f>VLOOKUP(B14,'Master'!$A$1:$C$2,2,FALSE)</f>
      </c>
      <c r="F14">
        <f>IF((MOD(A14,2)=0),"B","A")</f>
      </c>
    </row>
    <row xmlns="http://schemas.openxmlformats.org/spreadsheetml/2006/main" r="15" spans="1:6">
      <c r="A15">
        <v>14</v>
      </c>
      <c r="B15" t="inlineStr">
        <is>
          <t xml:space="preserve">001</t>
        </is>
      </c>
      <c r="C15">
        <f>(A15*VLOOKUP(B15,'Master'!$A$1:$C$2,3,FALSE))</f>
      </c>
      <c r="D15">
        <f>ROUND((C15*((1+'Rates'!$A$1))),0)</f>
      </c>
      <c r="E15">
        <f>VLOOKUP(B15,'Master'!$A$1:$C$2,2,FALSE)</f>
      </c>
      <c r="F15">
        <f>IF((MOD(A15,2)=0),"B","A")</f>
      </c>
    </row>
    <row xmlns="http://schemas.openxmlformats.org/spreadsheetml/2006/main" r="16" spans="1:6">
      <c r="A16">
        <v>15</v>
      </c>
      <c r="B16" t="inlineStr">
        <is>
          <t xml:space="preserve">001</t>
        </is>
      </c>
      <c r="C16">
        <f>(A16*VLOOKUP(B16,'Master'!$A$1:$C$2,3,FALSE))</f>
      </c>
      <c r="D16">
        <f>ROUND((C16*((1+'Rates'!$A$1))),0)</f>
      </c>
      <c r="E16">
        <f>VLOOKUP(B16,'Master'!$A$1:$C$2,2,FALSE)</f>
      </c>
      <c r="F16">
        <f>IF((MOD(A16,2)=0),"B","A")</f>
      </c>
    </row>
    <row xmlns="http://schemas.openxmlformats.org/spreadsheetml/2006/main" r="17" spans="1:6">
      <c r="A17">
        <v>16</v>
      </c>
      <c r="B17" t="inlineStr">
        <is>
          <t xml:space="preserve">001</t>
        </is>
      </c>
      <c r="C17">
        <f>(A17*VLOOKUP(B17,'Master'!$A$1:$C$2,3,FALSE))</f>
      </c>
      <c r="D17">
        <f>ROUND((C17*((1+'Rates'!$A$1))),0)</f>
      </c>
      <c r="E17">
        <f>VLOOKUP(B17,'Master'!$A$1:$C$2,2,FALSE)</f>
      </c>
      <c r="F17">
        <f>IF((MOD(A17,2)=0),"B","A")</f>
      </c>
    </row>
    <row xmlns="http://schemas.openxmlformats.org/spreadsheetml/2006/main" r="18" spans="1:6">
      <c r="A18">
        <v>17</v>
      </c>
      <c r="B18" t="inlineStr">
        <is>
          <t xml:space="preserve">001</t>
        </is>
      </c>
      <c r="C18">
        <f>(A18*VLOOKUP(B18,'Master'!$A$1:$C$2,3,FALSE))</f>
      </c>
      <c r="D18">
        <f>ROUND((C18*((1+'Rates'!$A$1))),0)</f>
      </c>
      <c r="E18">
        <f>VLOOKUP(B18,'Master'!$A$1:$C$2,2,FALSE)</f>
      </c>
      <c r="F18">
        <f>IF((MOD(A18,2)=0),"B","A")</f>
      </c>
    </row>
    <row xmlns="http://schemas.openxmlformats.org/spreadsheetml/2006/main" r="19" spans="1:6">
      <c r="A19">
        <v>18</v>
      </c>
      <c r="B19" t="inlineStr">
        <is>
          <t xml:space="preserve">001</t>
        </is>
      </c>
      <c r="C19">
        <f>(A19*VLOOKUP(B19,'Master'!$A$1:$C$2,3,FALSE))</f>
      </c>
      <c r="D19">
        <f>ROUND((C19*((1+'Rates'!$A$1))),0)</f>
      </c>
      <c r="E19">
        <f>VLOOKUP(B19,'Master'!$A$1:$C$2,2,FALSE)</f>
      </c>
      <c r="F19">
        <f>IF((MOD(A19,2)=0),"B","A")</f>
      </c>
    </row>
    <row xmlns="http://schemas.openxmlformats.org/spreadsheetml/2006/main" r="20" spans="1:6">
      <c r="A20">
        <v>19</v>
      </c>
      <c r="B20" t="inlineStr">
        <is>
          <t xml:space="preserve">001</t>
        </is>
      </c>
      <c r="C20">
        <f>(A20*VLOOKUP(B20,'Master'!$A$1:$C$2,3,FALSE))</f>
      </c>
      <c r="D20">
        <f>ROUND((C20*((1+'Rates'!$A$1))),0)</f>
      </c>
      <c r="E20">
        <f>VLOOKUP(B20,'Master'!$A$1:$C$2,2,FALSE)</f>
      </c>
      <c r="F20">
        <f>IF((MOD(A20,2)=0),"B","A")</f>
      </c>
    </row>
    <row xmlns="http://schemas.openxmlformats.org/spreadsheetml/2006/main" r="21" spans="1:6">
      <c r="A21">
        <v>20</v>
      </c>
      <c r="B21" t="inlineStr">
        <is>
          <t xml:space="preserve">001</t>
        </is>
      </c>
      <c r="C21">
        <f>(A21*VLOOKUP(B21,'Master'!$A$1:$C$2,3,FALSE))</f>
      </c>
      <c r="D21">
        <f>ROUND((C21*((1+'Rates'!$A$1))),0)</f>
      </c>
      <c r="E21">
        <f>VLOOKUP(B21,'Master'!$A$1:$C$2,2,FALSE)</f>
      </c>
      <c r="F21">
        <f>IF((MOD(A21,2)=0),"B","A")</f>
      </c>
    </row>
    <row xmlns="http://schemas.openxmlformats.org/spreadsheetml/2006/main" r="22" spans="1:6">
      <c r="A22">
        <v>21</v>
      </c>
      <c r="B22" t="inlineStr">
        <is>
          <t xml:space="preserve">001</t>
        </is>
      </c>
      <c r="C22">
        <f>(A22*VLOOKUP(B22,'Master'!$A$1:$C$2,3,FALSE))</f>
      </c>
      <c r="D22">
        <f>ROUND((C22*((1+'Rates'!$A$1))),0)</f>
      </c>
      <c r="E22">
        <f>VLOOKUP(B22,'Master'!$A$1:$C$2,2,FALSE)</f>
      </c>
      <c r="F22">
        <f>IF((MOD(A22,2)=0),"B","A")</f>
      </c>
    </row>
    <row xmlns="http://schemas.openxmlformats.org/spreadsheetml/2006/main" r="23" spans="1:6">
      <c r="A23">
        <v>22</v>
      </c>
      <c r="B23" t="inlineStr">
        <is>
          <t xml:space="preserve">001</t>
        </is>
      </c>
      <c r="C23">
        <f>(A23*VLOOKUP(B23,'Master'!$A$1:$C$2,3,FALSE))</f>
      </c>
      <c r="D23">
        <f>ROUND((C23*((1+'Rates'!$A$1))),0)</f>
      </c>
      <c r="E23">
        <f>VLOOKUP(B23,'Master'!$A$1:$C$2,2,FALSE)</f>
      </c>
      <c r="F23">
        <f>IF((MOD(A23,2)=0),"B","A")</f>
      </c>
    </row>
    <row xmlns="http://schemas.openxmlformats.org/spreadsheetml/2006/main" r="24" spans="1:6">
      <c r="A24">
        <v>23</v>
      </c>
      <c r="B24" t="inlineStr">
        <is>
          <t xml:space="preserve">001</t>
        </is>
      </c>
      <c r="C24">
        <f>(A24*VLOOKUP(B24,'Master'!$A$1:$C$2,3,FALSE))</f>
      </c>
      <c r="D24">
        <f>ROUND((C24*((1+'Rates'!$A$1))),0)</f>
      </c>
      <c r="E24">
        <f>VLOOKUP(B24,'Master'!$A$1:$C$2,2,FALSE)</f>
      </c>
      <c r="F24">
        <f>IF((MOD(A24,2)=0),"B","A")</f>
      </c>
    </row>
    <row xmlns="http://schemas.openxmlformats.org/spreadsheetml/2006/main" r="25" spans="1:6">
      <c r="A25">
        <v>24</v>
      </c>
      <c r="B25" t="inlineStr">
        <is>
          <t xml:space="preserve">001</t>
        </is>
      </c>
      <c r="C25">
        <f>(A25*VLOOKUP(B25,'Master'!$A$1:$C$2,3,FALSE))</f>
      </c>
      <c r="D25">
        <f>ROUND((C25*((1+'Rates'!$A$1))),0)</f>
      </c>
      <c r="E25">
        <f>VLOOKUP(B25,'Master'!$A$1:$C$2,2,FALSE)</f>
      </c>
      <c r="F25">
        <f>IF((MOD(A25,2)=0),"B","A")</f>
      </c>
    </row>
    <row xmlns="http://schemas.openxmlformats.org/spreadsheetml/2006/main" r="26" spans="1:6">
      <c r="A26">
        <v>25</v>
      </c>
      <c r="B26" t="inlineStr">
        <is>
          <t xml:space="preserve">001</t>
        </is>
      </c>
      <c r="C26">
        <f>(A26*VLOOKUP(B26,'Master'!$A$1:$C$2,3,FALSE))</f>
      </c>
      <c r="D26">
        <f>ROUND((C26*((1+'Rates'!$A$1))),0)</f>
      </c>
      <c r="E26">
        <f>VLOOKUP(B26,'Master'!$A$1:$C$2,2,FALSE)</f>
      </c>
      <c r="F26">
        <f>IF((MOD(A26,2)=0),"B","A")</f>
      </c>
    </row>
    <row xmlns="http://schemas.openxmlformats.org/spreadsheetml/2006/main" r="27" spans="1:6">
      <c r="A27">
        <v>26</v>
      </c>
      <c r="B27" t="inlineStr">
        <is>
          <t xml:space="preserve">001</t>
        </is>
      </c>
      <c r="C27">
        <f>(A27*VLOOKUP(B27,'Master'!$A$1:$C$2,3,FALSE))</f>
      </c>
      <c r="D27">
        <f>ROUND((C27*((1+'Rates'!$A$1))),0)</f>
      </c>
      <c r="E27">
        <f>VLOOKUP(B27,'Master'!$A$1:$C$2,2,FALSE)</f>
      </c>
      <c r="F27">
        <f>IF((MOD(A27,2)=0),"B","A")</f>
      </c>
    </row>
    <row xmlns="http://schemas.openxmlformats.org/spreadsheetml/2006/main" r="28" spans="1:6">
      <c r="A28">
        <v>27</v>
      </c>
      <c r="B28" t="inlineStr">
        <is>
          <t xml:space="preserve">001</t>
        </is>
      </c>
      <c r="C28">
        <f>(A28*VLOOKUP(B28,'Master'!$A$1:$C$2,3,FALSE))</f>
      </c>
      <c r="D28">
        <f>ROUND((C28*((1+'Rates'!$A$1))),0)</f>
      </c>
      <c r="E28">
        <f>VLOOKUP(B28,'Master'!$A$1:$C$2,2,FALSE)</f>
      </c>
      <c r="F28">
        <f>IF((MOD(A28,2)=0),"B","A")</f>
      </c>
    </row>
    <row xmlns="http://schemas.openxmlformats.org/spreadsheetml/2006/main" r="29" spans="1:6">
      <c r="A29">
        <v>28</v>
      </c>
      <c r="B29" t="inlineStr">
        <is>
          <t xml:space="preserve">001</t>
        </is>
      </c>
      <c r="C29">
        <f>(A29*VLOOKUP(B29,'Master'!$A$1:$C$2,3,FALSE))</f>
      </c>
      <c r="D29">
        <f>ROUND((C29*((1+'Rates'!$A$1))),0)</f>
      </c>
      <c r="E29">
        <f>VLOOKUP(B29,'Master'!$A$1:$C$2,2,FALSE)</f>
      </c>
      <c r="F29">
        <f>IF((MOD(A29,2)=0),"B","A")</f>
      </c>
    </row>
    <row xmlns="http://schemas.openxmlformats.org/spreadsheetml/2006/main" r="30" spans="1:6">
      <c r="A30">
        <v>29</v>
      </c>
      <c r="B30" t="inlineStr">
        <is>
          <t xml:space="preserve">001</t>
        </is>
      </c>
      <c r="C30">
        <f>(A30*VLOOKUP(B30,'Master'!$A$1:$C$2,3,FALSE))</f>
      </c>
      <c r="D30">
        <f>ROUND((C30*((1+'Rates'!$A$1))),0)</f>
      </c>
      <c r="E30">
        <f>VLOOKUP(B30,'Master'!$A$1:$C$2,2,FALSE)</f>
      </c>
      <c r="F30">
        <f>IF((MOD(A30,2)=0),"B","A")</f>
      </c>
    </row>
    <row xmlns="http://schemas.openxmlformats.org/spreadsheetml/2006/main" r="31" spans="1:6">
      <c r="A31">
        <v>30</v>
      </c>
      <c r="B31" t="inlineStr">
        <is>
          <t xml:space="preserve">001</t>
        </is>
      </c>
      <c r="C31">
        <f>(A31*VLOOKUP(B31,'Master'!$A$1:$C$2,3,FALSE))</f>
      </c>
      <c r="D31">
        <f>ROUND((C31*((1+'Rates'!$A$1))),0)</f>
      </c>
      <c r="E31">
        <f>VLOOKUP(B31,'Master'!$A$1:$C$2,2,FALSE)</f>
      </c>
      <c r="F31">
        <f>IF((MOD(A31,2)=0),"B","A")</f>
      </c>
    </row>
    <row xmlns="http://schemas.openxmlformats.org/spreadsheetml/2006/main" r="32" spans="1:6">
      <c r="A32">
        <v>31</v>
      </c>
      <c r="B32" t="inlineStr">
        <is>
          <t xml:space="preserve">001</t>
        </is>
      </c>
      <c r="C32">
        <f>(A32*VLOOKUP(B32,'Master'!$A$1:$C$2,3,FALSE))</f>
      </c>
      <c r="D32">
        <f>ROUND((C32*((1+'Rates'!$A$1))),0)</f>
      </c>
      <c r="E32">
        <f>VLOOKUP(B32,'Master'!$A$1:$C$2,2,FALSE)</f>
      </c>
      <c r="F32">
        <f>IF((MOD(A32,2)=0),"B","A")</f>
      </c>
    </row>
    <row xmlns="http://schemas.openxmlformats.org/spreadsheetml/2006/main" r="33" spans="1:6">
      <c r="A33">
        <v>32</v>
      </c>
      <c r="B33" t="inlineStr">
        <is>
          <t xml:space="preserve">001</t>
        </is>
      </c>
      <c r="C33">
        <f>(A33*VLOOKUP(B33,'Master'!$A$1:$C$2,3,FALSE))</f>
      </c>
      <c r="D33">
        <f>ROUND((C33*((1+'Rates'!$A$1))),0)</f>
      </c>
      <c r="E33">
        <f>VLOOKUP(B33,'Master'!$A$1:$C$2,2,FALSE)</f>
      </c>
      <c r="F33">
        <f>IF((MOD(A33,2)=0),"B","A")</f>
      </c>
    </row>
    <row xmlns="http://schemas.openxmlformats.org/spreadsheetml/2006/main" r="34" spans="1:6">
      <c r="A34">
        <v>33</v>
      </c>
      <c r="B34" t="inlineStr">
        <is>
          <t xml:space="preserve">001</t>
        </is>
      </c>
      <c r="C34">
        <f>(A34*VLOOKUP(B34,'Master'!$A$1:$C$2,3,FALSE))</f>
      </c>
      <c r="D34">
        <f>ROUND((C34*((1+'Rates'!$A$1))),0)</f>
      </c>
      <c r="E34">
        <f>VLOOKUP(B34,'Master'!$A$1:$C$2,2,FALSE)</f>
      </c>
      <c r="F34">
        <f>IF((MOD(A34,2)=0),"B","A")</f>
      </c>
    </row>
    <row xmlns="http://schemas.openxmlformats.org/spreadsheetml/2006/main" r="35" spans="1:6">
      <c r="A35">
        <v>34</v>
      </c>
      <c r="B35" t="inlineStr">
        <is>
          <t xml:space="preserve">001</t>
        </is>
      </c>
      <c r="C35">
        <f>(A35*VLOOKUP(B35,'Master'!$A$1:$C$2,3,FALSE))</f>
      </c>
      <c r="D35">
        <f>ROUND((C35*((1+'Rates'!$A$1))),0)</f>
      </c>
      <c r="E35">
        <f>VLOOKUP(B35,'Master'!$A$1:$C$2,2,FALSE)</f>
      </c>
      <c r="F35">
        <f>IF((MOD(A35,2)=0),"B","A")</f>
      </c>
    </row>
    <row xmlns="http://schemas.openxmlformats.org/spreadsheetml/2006/main" r="36" spans="1:6">
      <c r="A36">
        <v>35</v>
      </c>
      <c r="B36" t="inlineStr">
        <is>
          <t xml:space="preserve">001</t>
        </is>
      </c>
      <c r="C36">
        <f>(A36*VLOOKUP(B36,'Master'!$A$1:$C$2,3,FALSE))</f>
      </c>
      <c r="D36">
        <f>ROUND((C36*((1+'Rates'!$A$1))),0)</f>
      </c>
      <c r="E36">
        <f>VLOOKUP(B36,'Master'!$A$1:$C$2,2,FALSE)</f>
      </c>
      <c r="F36">
        <f>IF((MOD(A36,2)=0),"B","A")</f>
      </c>
    </row>
    <row xmlns="http://schemas.openxmlformats.org/spreadsheetml/2006/main" r="37" spans="1:6">
      <c r="A37">
        <v>36</v>
      </c>
      <c r="B37" t="inlineStr">
        <is>
          <t xml:space="preserve">001</t>
        </is>
      </c>
      <c r="C37">
        <f>(A37*VLOOKUP(B37,'Master'!$A$1:$C$2,3,FALSE))</f>
      </c>
      <c r="D37">
        <f>ROUND((C37*((1+'Rates'!$A$1))),0)</f>
      </c>
      <c r="E37">
        <f>VLOOKUP(B37,'Master'!$A$1:$C$2,2,FALSE)</f>
      </c>
      <c r="F37">
        <f>IF((MOD(A37,2)=0),"B","A")</f>
      </c>
    </row>
    <row xmlns="http://schemas.openxmlformats.org/spreadsheetml/2006/main" r="38" spans="1:6">
      <c r="A38">
        <v>37</v>
      </c>
      <c r="B38" t="inlineStr">
        <is>
          <t xml:space="preserve">001</t>
        </is>
      </c>
      <c r="C38">
        <f>(A38*VLOOKUP(B38,'Master'!$A$1:$C$2,3,FALSE))</f>
      </c>
      <c r="D38">
        <f>ROUND((C38*((1+'Rates'!$A$1))),0)</f>
      </c>
      <c r="E38">
        <f>VLOOKUP(B38,'Master'!$A$1:$C$2,2,FALSE)</f>
      </c>
      <c r="F38">
        <f>IF((MOD(A38,2)=0),"B","A")</f>
      </c>
    </row>
    <row xmlns="http://schemas.openxmlformats.org/spreadsheetml/2006/main" r="39" spans="1:6">
      <c r="A39">
        <v>38</v>
      </c>
      <c r="B39" t="inlineStr">
        <is>
          <t xml:space="preserve">001</t>
        </is>
      </c>
      <c r="C39">
        <f>(A39*VLOOKUP(B39,'Master'!$A$1:$C$2,3,FALSE))</f>
      </c>
      <c r="D39">
        <f>ROUND((C39*((1+'Rates'!$A$1))),0)</f>
      </c>
      <c r="E39">
        <f>VLOOKUP(B39,'Master'!$A$1:$C$2,2,FALSE)</f>
      </c>
      <c r="F39">
        <f>IF((MOD(A39,2)=0),"B","A")</f>
      </c>
    </row>
    <row xmlns="http://schemas.openxmlformats.org/spreadsheetml/2006/main" r="40" spans="1:6">
      <c r="A40">
        <v>39</v>
      </c>
      <c r="B40" t="inlineStr">
        <is>
          <t xml:space="preserve">001</t>
        </is>
      </c>
      <c r="C40">
        <f>(A40*VLOOKUP(B40,'Master'!$A$1:$C$2,3,FALSE))</f>
      </c>
      <c r="D40">
        <f>ROUND((C40*((1+'Rates'!$A$1))),0)</f>
      </c>
      <c r="E40">
        <f>VLOOKUP(B40,'Master'!$A$1:$C$2,2,FALSE)</f>
      </c>
      <c r="F40">
        <f>IF((MOD(A40,2)=0),"B","A")</f>
      </c>
    </row>
    <row xmlns="http://schemas.openxmlformats.org/spreadsheetml/2006/main" r="41" spans="1:6">
      <c r="A41">
        <v>40</v>
      </c>
      <c r="B41" t="inlineStr">
        <is>
          <t xml:space="preserve">001</t>
        </is>
      </c>
      <c r="C41">
        <f>(A41*VLOOKUP(B41,'Master'!$A$1:$C$2,3,FALSE))</f>
      </c>
      <c r="D41">
        <f>ROUND((C41*((1+'Rates'!$A$1))),0)</f>
      </c>
      <c r="E41">
        <f>VLOOKUP(B41,'Master'!$A$1:$C$2,2,FALSE)</f>
      </c>
      <c r="F41">
        <f>IF((MOD(A41,2)=0),"B","A")</f>
      </c>
    </row>
    <row xmlns="http://schemas.openxmlformats.org/spreadsheetml/2006/main" r="42" spans="1:6">
      <c r="A42">
        <v>41</v>
      </c>
      <c r="B42" t="inlineStr">
        <is>
          <t xml:space="preserve">001</t>
        </is>
      </c>
      <c r="C42">
        <f>(A42*VLOOKUP(B42,'Master'!$A$1:$C$2,3,FALSE))</f>
      </c>
      <c r="D42">
        <f>ROUND((C42*((1+'Rates'!$A$1))),0)</f>
      </c>
      <c r="E42">
        <f>VLOOKUP(B42,'Master'!$A$1:$C$2,2,FALSE)</f>
      </c>
      <c r="F42">
        <f>IF((MOD(A42,2)=0),"B","A")</f>
      </c>
    </row>
    <row xmlns="http://schemas.openxmlformats.org/spreadsheetml/2006/main" r="43" spans="1:6">
      <c r="A43">
        <v>42</v>
      </c>
      <c r="B43" t="inlineStr">
        <is>
          <t xml:space="preserve">001</t>
        </is>
      </c>
      <c r="C43">
        <f>(A43*VLOOKUP(B43,'Master'!$A$1:$C$2,3,FALSE))</f>
      </c>
      <c r="D43">
        <f>ROUND((C43*((1+'Rates'!$A$1))),0)</f>
      </c>
      <c r="E43">
        <f>VLOOKUP(B43,'Master'!$A$1:$C$2,2,FALSE)</f>
      </c>
      <c r="F43">
        <f>IF((MOD(A43,2)=0),"B","A")</f>
      </c>
    </row>
    <row xmlns="http://schemas.openxmlformats.org/spreadsheetml/2006/main" r="44" spans="1:6">
      <c r="A44">
        <v>43</v>
      </c>
      <c r="B44" t="inlineStr">
        <is>
          <t xml:space="preserve">001</t>
        </is>
      </c>
      <c r="C44">
        <f>(A44*VLOOKUP(B44,'Master'!$A$1:$C$2,3,FALSE))</f>
      </c>
      <c r="D44">
        <f>ROUND((C44*((1+'Rates'!$A$1))),0)</f>
      </c>
      <c r="E44">
        <f>VLOOKUP(B44,'Master'!$A$1:$C$2,2,FALSE)</f>
      </c>
      <c r="F44">
        <f>IF((MOD(A44,2)=0),"B","A")</f>
      </c>
    </row>
    <row xmlns="http://schemas.openxmlformats.org/spreadsheetml/2006/main" r="45" spans="1:6">
      <c r="A45">
        <v>44</v>
      </c>
      <c r="B45" t="inlineStr">
        <is>
          <t xml:space="preserve">001</t>
        </is>
      </c>
      <c r="C45">
        <f>(A45*VLOOKUP(B45,'Master'!$A$1:$C$2,3,FALSE))</f>
      </c>
      <c r="D45">
        <f>ROUND((C45*((1+'Rates'!$A$1))),0)</f>
      </c>
      <c r="E45">
        <f>VLOOKUP(B45,'Master'!$A$1:$C$2,2,FALSE)</f>
      </c>
      <c r="F45">
        <f>IF((MOD(A45,2)=0),"B","A")</f>
      </c>
    </row>
    <row xmlns="http://schemas.openxmlformats.org/spreadsheetml/2006/main" r="46" spans="1:6">
      <c r="A46">
        <v>45</v>
      </c>
      <c r="B46" t="inlineStr">
        <is>
          <t xml:space="preserve">001</t>
        </is>
      </c>
      <c r="C46">
        <f>(A46*VLOOKUP(B46,'Master'!$A$1:$C$2,3,FALSE))</f>
      </c>
      <c r="D46">
        <f>ROUND((C46*((1+'Rates'!$A$1))),0)</f>
      </c>
      <c r="E46">
        <f>VLOOKUP(B46,'Master'!$A$1:$C$2,2,FALSE)</f>
      </c>
      <c r="F46">
        <f>IF((MOD(A46,2)=0),"B","A")</f>
      </c>
    </row>
    <row xmlns="http://schemas.openxmlformats.org/spreadsheetml/2006/main" r="47" spans="1:6">
      <c r="A47">
        <v>46</v>
      </c>
      <c r="B47" t="inlineStr">
        <is>
          <t xml:space="preserve">001</t>
        </is>
      </c>
      <c r="C47">
        <f>(A47*VLOOKUP(B47,'Master'!$A$1:$C$2,3,FALSE))</f>
      </c>
      <c r="D47">
        <f>ROUND((C47*((1+'Rates'!$A$1))),0)</f>
      </c>
      <c r="E47">
        <f>VLOOKUP(B47,'Master'!$A$1:$C$2,2,FALSE)</f>
      </c>
      <c r="F47">
        <f>IF((MOD(A47,2)=0),"B","A")</f>
      </c>
    </row>
    <row xmlns="http://schemas.openxmlformats.org/spreadsheetml/2006/main" r="48" spans="1:6">
      <c r="A48">
        <v>47</v>
      </c>
      <c r="B48" t="inlineStr">
        <is>
          <t xml:space="preserve">001</t>
        </is>
      </c>
      <c r="C48">
        <f>(A48*VLOOKUP(B48,'Master'!$A$1:$C$2,3,FALSE))</f>
      </c>
      <c r="D48">
        <f>ROUND((C48*((1+'Rates'!$A$1))),0)</f>
      </c>
      <c r="E48">
        <f>VLOOKUP(B48,'Master'!$A$1:$C$2,2,FALSE)</f>
      </c>
      <c r="F48">
        <f>IF((MOD(A48,2)=0),"B","A")</f>
      </c>
    </row>
    <row xmlns="http://schemas.openxmlformats.org/spreadsheetml/2006/main" r="49" spans="1:6">
      <c r="A49">
        <v>48</v>
      </c>
      <c r="B49" t="inlineStr">
        <is>
          <t xml:space="preserve">001</t>
        </is>
      </c>
      <c r="C49">
        <f>(A49*VLOOKUP(B49,'Master'!$A$1:$C$2,3,FALSE))</f>
      </c>
      <c r="D49">
        <f>ROUND((C49*((1+'Rates'!$A$1))),0)</f>
      </c>
      <c r="E49">
        <f>VLOOKUP(B49,'Master'!$A$1:$C$2,2,FALSE)</f>
      </c>
      <c r="F49">
        <f>IF((MOD(A49,2)=0),"B","A")</f>
      </c>
    </row>
    <row xmlns="http://schemas.openxmlformats.org/spreadsheetml/2006/main" r="50" spans="1:6">
      <c r="A50">
        <v>49</v>
      </c>
      <c r="B50" t="inlineStr">
        <is>
          <t xml:space="preserve">001</t>
        </is>
      </c>
      <c r="C50">
        <f>(A50*VLOOKUP(B50,'Master'!$A$1:$C$2,3,FALSE))</f>
      </c>
      <c r="D50">
        <f>ROUND((C50*((1+'Rates'!$A$1))),0)</f>
      </c>
      <c r="E50">
        <f>VLOOKUP(B50,'Master'!$A$1:$C$2,2,FALSE)</f>
      </c>
      <c r="F50">
        <f>IF((MOD(A50,2)=0),"B","A")</f>
      </c>
    </row>
    <row xmlns="http://schemas.openxmlformats.org/spreadsheetml/2006/main" r="51" spans="1:6">
      <c r="A51">
        <v>50</v>
      </c>
      <c r="B51" t="inlineStr">
        <is>
          <t xml:space="preserve">001</t>
        </is>
      </c>
      <c r="C51">
        <f>(A51*VLOOKUP(B51,'Master'!$A$1:$C$2,3,FALSE))</f>
      </c>
      <c r="D51">
        <f>ROUND((C51*((1+'Rates'!$A$1))),0)</f>
      </c>
      <c r="E51">
        <f>VLOOKUP(B51,'Master'!$A$1:$C$2,2,FALSE)</f>
      </c>
      <c r="F51">
        <f>IF((MOD(A51,2)=0),"B","A")</f>
      </c>
    </row>
    <row xmlns="http://schemas.openxmlformats.org/spreadsheetml/2006/main" r="52" spans="1:6">
      <c r="A52">
        <v>51</v>
      </c>
      <c r="B52" t="inlineStr">
        <is>
          <t xml:space="preserve">001</t>
        </is>
      </c>
      <c r="C52">
        <f>(A52*VLOOKUP(B52,'Master'!$A$1:$C$2,3,FALSE))</f>
      </c>
      <c r="D52">
        <f>ROUND((C52*((1+'Rates'!$A$1))),0)</f>
      </c>
      <c r="E52">
        <f>VLOOKUP(B52,'Master'!$A$1:$C$2,2,FALSE)</f>
      </c>
      <c r="F52">
        <f>IF((MOD(A52,2)=0),"B","A")</f>
      </c>
    </row>
    <row xmlns="http://schemas.openxmlformats.org/spreadsheetml/2006/main" r="53" spans="1:6">
      <c r="A53">
        <v>52</v>
      </c>
      <c r="B53" t="inlineStr">
        <is>
          <t xml:space="preserve">001</t>
        </is>
      </c>
      <c r="C53">
        <f>(A53*VLOOKUP(B53,'Master'!$A$1:$C$2,3,FALSE))</f>
      </c>
      <c r="D53">
        <f>ROUND((C53*((1+'Rates'!$A$1))),0)</f>
      </c>
      <c r="E53">
        <f>VLOOKUP(B53,'Master'!$A$1:$C$2,2,FALSE)</f>
      </c>
      <c r="F53">
        <f>IF((MOD(A53,2)=0),"B","A")</f>
      </c>
    </row>
    <row xmlns="http://schemas.openxmlformats.org/spreadsheetml/2006/main" r="54" spans="1:6">
      <c r="A54">
        <v>53</v>
      </c>
      <c r="B54" t="inlineStr">
        <is>
          <t xml:space="preserve">001</t>
        </is>
      </c>
      <c r="C54">
        <f>(A54*VLOOKUP(B54,'Master'!$A$1:$C$2,3,FALSE))</f>
      </c>
      <c r="D54">
        <f>ROUND((C54*((1+'Rates'!$A$1))),0)</f>
      </c>
      <c r="E54">
        <f>VLOOKUP(B54,'Master'!$A$1:$C$2,2,FALSE)</f>
      </c>
      <c r="F54">
        <f>IF((MOD(A54,2)=0),"B","A")</f>
      </c>
    </row>
    <row xmlns="http://schemas.openxmlformats.org/spreadsheetml/2006/main" r="55" spans="1:6">
      <c r="A55">
        <v>54</v>
      </c>
      <c r="B55" t="inlineStr">
        <is>
          <t xml:space="preserve">001</t>
        </is>
      </c>
      <c r="C55">
        <f>(A55*VLOOKUP(B55,'Master'!$A$1:$C$2,3,FALSE))</f>
      </c>
      <c r="D55">
        <f>ROUND((C55*((1+'Rates'!$A$1))),0)</f>
      </c>
      <c r="E55">
        <f>VLOOKUP(B55,'Master'!$A$1:$C$2,2,FALSE)</f>
      </c>
      <c r="F55">
        <f>IF((MOD(A55,2)=0),"B","A")</f>
      </c>
    </row>
    <row xmlns="http://schemas.openxmlformats.org/spreadsheetml/2006/main" r="56" spans="1:6">
      <c r="A56">
        <v>55</v>
      </c>
      <c r="B56" t="inlineStr">
        <is>
          <t xml:space="preserve">001</t>
        </is>
      </c>
      <c r="C56">
        <f>(A56*VLOOKUP(B56,'Master'!$A$1:$C$2,3,FALSE))</f>
      </c>
      <c r="D56">
        <f>ROUND((C56*((1+'Rates'!$A$1))),0)</f>
      </c>
      <c r="E56">
        <f>VLOOKUP(B56,'Master'!$A$1:$C$2,2,FALSE)</f>
      </c>
      <c r="F56">
        <f>IF((MOD(A56,2)=0),"B","A")</f>
      </c>
    </row>
    <row xmlns="http://schemas.openxmlformats.org/spreadsheetml/2006/main" r="57" spans="1:6">
      <c r="A57">
        <v>56</v>
      </c>
      <c r="B57" t="inlineStr">
        <is>
          <t xml:space="preserve">001</t>
        </is>
      </c>
      <c r="C57">
        <f>(A57*VLOOKUP(B57,'Master'!$A$1:$C$2,3,FALSE))</f>
      </c>
      <c r="D57">
        <f>ROUND((C57*((1+'Rates'!$A$1))),0)</f>
      </c>
      <c r="E57">
        <f>VLOOKUP(B57,'Master'!$A$1:$C$2,2,FALSE)</f>
      </c>
      <c r="F57">
        <f>IF((MOD(A57,2)=0),"B","A")</f>
      </c>
    </row>
    <row xmlns="http://schemas.openxmlformats.org/spreadsheetml/2006/main" r="58" spans="1:6">
      <c r="A58">
        <v>57</v>
      </c>
      <c r="B58" t="inlineStr">
        <is>
          <t xml:space="preserve">001</t>
        </is>
      </c>
      <c r="C58">
        <f>(A58*VLOOKUP(B58,'Master'!$A$1:$C$2,3,FALSE))</f>
      </c>
      <c r="D58">
        <f>ROUND((C58*((1+'Rates'!$A$1))),0)</f>
      </c>
      <c r="E58">
        <f>VLOOKUP(B58,'Master'!$A$1:$C$2,2,FALSE)</f>
      </c>
      <c r="F58">
        <f>IF((MOD(A58,2)=0),"B","A")</f>
      </c>
    </row>
    <row xmlns="http://schemas.openxmlformats.org/spreadsheetml/2006/main" r="59" spans="1:6">
      <c r="A59">
        <v>58</v>
      </c>
      <c r="B59" t="inlineStr">
        <is>
          <t xml:space="preserve">001</t>
        </is>
      </c>
      <c r="C59">
        <f>(A59*VLOOKUP(B59,'Master'!$A$1:$C$2,3,FALSE))</f>
      </c>
      <c r="D59">
        <f>ROUND((C59*((1+'Rates'!$A$1))),0)</f>
      </c>
      <c r="E59">
        <f>VLOOKUP(B59,'Master'!$A$1:$C$2,2,FALSE)</f>
      </c>
      <c r="F59">
        <f>IF((MOD(A59,2)=0),"B","A")</f>
      </c>
    </row>
    <row xmlns="http://schemas.openxmlformats.org/spreadsheetml/2006/main" r="60" spans="1:6">
      <c r="A60">
        <v>59</v>
      </c>
      <c r="B60" t="inlineStr">
        <is>
          <t xml:space="preserve">001</t>
        </is>
      </c>
      <c r="C60">
        <f>(A60*VLOOKUP(B60,'Master'!$A$1:$C$2,3,FALSE))</f>
      </c>
      <c r="D60">
        <f>ROUND((C60*((1+'Rates'!$A$1))),0)</f>
      </c>
      <c r="E60">
        <f>VLOOKUP(B60,'Master'!$A$1:$C$2,2,FALSE)</f>
      </c>
      <c r="F60">
        <f>IF((MOD(A60,2)=0),"B","A")</f>
      </c>
    </row>
    <row xmlns="http://schemas.openxmlformats.org/spreadsheetml/2006/main" r="61" spans="1:6">
      <c r="A61">
        <v>60</v>
      </c>
      <c r="B61" t="inlineStr">
        <is>
          <t xml:space="preserve">001</t>
        </is>
      </c>
      <c r="C61">
        <f>(A61*VLOOKUP(B61,'Master'!$A$1:$C$2,3,FALSE))</f>
      </c>
      <c r="D61">
        <f>ROUND((C61*((1+'Rates'!$A$1))),0)</f>
      </c>
      <c r="E61">
        <f>VLOOKUP(B61,'Master'!$A$1:$C$2,2,FALSE)</f>
      </c>
      <c r="F61">
        <f>IF((MOD(A61,2)=0),"B","A")</f>
      </c>
    </row>
    <row xmlns="http://schemas.openxmlformats.org/spreadsheetml/2006/main" r="62" spans="1:6">
      <c r="A62">
        <v>61</v>
      </c>
      <c r="B62" t="inlineStr">
        <is>
          <t xml:space="preserve">001</t>
        </is>
      </c>
      <c r="C62">
        <f>(A62*VLOOKUP(B62,'Master'!$A$1:$C$2,3,FALSE))</f>
      </c>
      <c r="D62">
        <f>ROUND((C62*((1+'Rates'!$A$1))),0)</f>
      </c>
      <c r="E62">
        <f>VLOOKUP(B62,'Master'!$A$1:$C$2,2,FALSE)</f>
      </c>
      <c r="F62">
        <f>IF((MOD(A62,2)=0),"B","A")</f>
      </c>
    </row>
    <row xmlns="http://schemas.openxmlformats.org/spreadsheetml/2006/main" r="63" spans="1:6">
      <c r="A63">
        <v>62</v>
      </c>
      <c r="B63" t="inlineStr">
        <is>
          <t xml:space="preserve">001</t>
        </is>
      </c>
      <c r="C63">
        <f>(A63*VLOOKUP(B63,'Master'!$A$1:$C$2,3,FALSE))</f>
      </c>
      <c r="D63">
        <f>ROUND((C63*((1+'Rates'!$A$1))),0)</f>
      </c>
      <c r="E63">
        <f>VLOOKUP(B63,'Master'!$A$1:$C$2,2,FALSE)</f>
      </c>
      <c r="F63">
        <f>IF((MOD(A63,2)=0),"B","A")</f>
      </c>
    </row>
    <row xmlns="http://schemas.openxmlformats.org/spreadsheetml/2006/main" r="64" spans="1:6">
      <c r="A64">
        <v>63</v>
      </c>
      <c r="B64" t="inlineStr">
        <is>
          <t xml:space="preserve">001</t>
        </is>
      </c>
      <c r="C64">
        <f>(A64*VLOOKUP(B64,'Master'!$A$1:$C$2,3,FALSE))</f>
      </c>
      <c r="D64">
        <f>ROUND((C64*((1+'Rates'!$A$1))),0)</f>
      </c>
      <c r="E64">
        <f>VLOOKUP(B64,'Master'!$A$1:$C$2,2,FALSE)</f>
      </c>
      <c r="F64">
        <f>IF((MOD(A64,2)=0),"B","A")</f>
      </c>
    </row>
    <row xmlns="http://schemas.openxmlformats.org/spreadsheetml/2006/main" r="65" spans="1:6">
      <c r="A65">
        <v>64</v>
      </c>
      <c r="B65" t="inlineStr">
        <is>
          <t xml:space="preserve">001</t>
        </is>
      </c>
      <c r="C65">
        <f>(A65*VLOOKUP(B65,'Master'!$A$1:$C$2,3,FALSE))</f>
      </c>
      <c r="D65">
        <f>ROUND((C65*((1+'Rates'!$A$1))),0)</f>
      </c>
      <c r="E65">
        <f>VLOOKUP(B65,'Master'!$A$1:$C$2,2,FALSE)</f>
      </c>
      <c r="F65">
        <f>IF((MOD(A65,2)=0),"B","A")</f>
      </c>
    </row>
    <row xmlns="http://schemas.openxmlformats.org/spreadsheetml/2006/main" r="66" spans="1:6">
      <c r="A66">
        <v>65</v>
      </c>
      <c r="B66" t="inlineStr">
        <is>
          <t xml:space="preserve">001</t>
        </is>
      </c>
      <c r="C66">
        <f>(A66*VLOOKUP(B66,'Master'!$A$1:$C$2,3,FALSE))</f>
      </c>
      <c r="D66">
        <f>ROUND((C66*((1+'Rates'!$A$1))),0)</f>
      </c>
      <c r="E66">
        <f>VLOOKUP(B66,'Master'!$A$1:$C$2,2,FALSE)</f>
      </c>
      <c r="F66">
        <f>IF((MOD(A66,2)=0),"B","A")</f>
      </c>
    </row>
    <row xmlns="http://schemas.openxmlformats.org/spreadsheetml/2006/main" r="67" spans="1:6">
      <c r="A67">
        <v>66</v>
      </c>
      <c r="B67" t="inlineStr">
        <is>
          <t xml:space="preserve">001</t>
        </is>
      </c>
      <c r="C67">
        <f>(A67*VLOOKUP(B67,'Master'!$A$1:$C$2,3,FALSE))</f>
      </c>
      <c r="D67">
        <f>ROUND((C67*((1+'Rates'!$A$1))),0)</f>
      </c>
      <c r="E67">
        <f>VLOOKUP(B67,'Master'!$A$1:$C$2,2,FALSE)</f>
      </c>
      <c r="F67">
        <f>IF((MOD(A67,2)=0),"B","A")</f>
      </c>
    </row>
    <row xmlns="http://schemas.openxmlformats.org/spreadsheetml/2006/main" r="68" spans="1:6">
      <c r="A68">
        <v>67</v>
      </c>
      <c r="B68" t="inlineStr">
        <is>
          <t xml:space="preserve">001</t>
        </is>
      </c>
      <c r="C68">
        <f>(A68*VLOOKUP(B68,'Master'!$A$1:$C$2,3,FALSE))</f>
      </c>
      <c r="D68">
        <f>ROUND((C68*((1+'Rates'!$A$1))),0)</f>
      </c>
      <c r="E68">
        <f>VLOOKUP(B68,'Master'!$A$1:$C$2,2,FALSE)</f>
      </c>
      <c r="F68">
        <f>IF((MOD(A68,2)=0),"B","A")</f>
      </c>
    </row>
    <row xmlns="http://schemas.openxmlformats.org/spreadsheetml/2006/main" r="69" spans="1:6">
      <c r="A69">
        <v>68</v>
      </c>
      <c r="B69" t="inlineStr">
        <is>
          <t xml:space="preserve">001</t>
        </is>
      </c>
      <c r="C69">
        <f>(A69*VLOOKUP(B69,'Master'!$A$1:$C$2,3,FALSE))</f>
      </c>
      <c r="D69">
        <f>ROUND((C69*((1+'Rates'!$A$1))),0)</f>
      </c>
      <c r="E69">
        <f>VLOOKUP(B69,'Master'!$A$1:$C$2,2,FALSE)</f>
      </c>
      <c r="F69">
        <f>IF((MOD(A69,2)=0),"B","A")</f>
      </c>
    </row>
    <row xmlns="http://schemas.openxmlformats.org/spreadsheetml/2006/main" r="70" spans="1:6">
      <c r="A70">
        <v>69</v>
      </c>
      <c r="B70" t="inlineStr">
        <is>
          <t xml:space="preserve">001</t>
        </is>
      </c>
      <c r="C70">
        <f>(A70*VLOOKUP(B70,'Master'!$A$1:$C$2,3,FALSE))</f>
      </c>
      <c r="D70">
        <f>ROUND((C70*((1+'Rates'!$A$1))),0)</f>
      </c>
      <c r="E70">
        <f>VLOOKUP(B70,'Master'!$A$1:$C$2,2,FALSE)</f>
      </c>
      <c r="F70">
        <f>IF((MOD(A70,2)=0),"B","A")</f>
      </c>
    </row>
    <row xmlns="http://schemas.openxmlformats.org/spreadsheetml/2006/main" r="71" spans="1:6">
      <c r="A71">
        <v>70</v>
      </c>
      <c r="B71" t="inlineStr">
        <is>
          <t xml:space="preserve">001</t>
        </is>
      </c>
      <c r="C71">
        <f>(A71*VLOOKUP(B71,'Master'!$A$1:$C$2,3,FALSE))</f>
      </c>
      <c r="D71">
        <f>ROUND((C71*((1+'Rates'!$A$1))),0)</f>
      </c>
      <c r="E71">
        <f>VLOOKUP(B71,'Master'!$A$1:$C$2,2,FALSE)</f>
      </c>
      <c r="F71">
        <f>IF((MOD(A71,2)=0),"B","A")</f>
      </c>
    </row>
    <row xmlns="http://schemas.openxmlformats.org/spreadsheetml/2006/main" r="72" spans="1:4">
      <c r="A72" t="inlineStr">
        <is>
          <t>Total</t>
        </is>
      </c>
      <c r="D72">
        <f>SUM(Amounts)</f>
      </c>
    </row>
    <row xmlns="http://schemas.openxmlformats.org/spreadsheetml/2006/main" r="73" spans="1:5">
      <c r="A73" t="inlineStr">
        <is>
          <t>Category A</t>
        </is>
      </c>
      <c r="D73">
        <f>SUMIFS(Amounts,Categories,"A")</f>
      </c>
      <c r="E73">
        <f>COUNTIFS(Categories,"A")</f>
      </c>
    </row>
    <row xmlns="http://schemas.openxmlformats.org/spreadsheetml/2006/main" r="74" spans="1:3">
      <c r="A74">
        <f>DATE(2026,10,17)</f>
      </c>
      <c r="B74">
        <f>EOMONTH(A74,1)</f>
      </c>
      <c r="C74">
        <f>TEXT(A74,"yyyy年mm月")</f>
      </c>
    </row>
  </x:sheetData>
</worksheet>
</file>

<file path=xl/worksheets/sheet2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1">
      <c r="A1">
        <v>0.1</v>
      </c>
    </row>
  </x:sheetData>
</worksheet>
</file>

<file path=xl/worksheets/sheet3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3">
      <c r="A1" t="inlineStr">
        <is>
          <t>001</t>
        </is>
      </c>
      <c r="B1" t="inlineStr">
        <is>
          <t>Item one</t>
        </is>
      </c>
      <c r="C1">
        <v>10</v>
      </c>
    </row>
    <row xmlns="http://schemas.openxmlformats.org/spreadsheetml/2006/main" r="2" spans="1:3">
      <c r="A2" t="inlineStr">
        <is>
          <t>002</t>
        </is>
      </c>
      <c r="B2" t="inlineStr">
        <is>
          <t>Item two</t>
        </is>
      </c>
      <c r="C2">
        <v>25</v>
      </c>
    </row>
  </x:sheetData>
</worksheet>
</file>